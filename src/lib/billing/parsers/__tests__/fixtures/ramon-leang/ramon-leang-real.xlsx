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atriz\Downloads\"/>
    </mc:Choice>
  </mc:AlternateContent>
  <xr:revisionPtr revIDLastSave="0" documentId="8_{D15E3D44-663C-4400-887B-9B6A05D7F0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E12" i="1"/>
  <c r="L25" i="1"/>
  <c r="I25" i="1"/>
  <c r="E25" i="1"/>
  <c r="B25" i="1"/>
  <c r="O36" i="1"/>
  <c r="L36" i="1"/>
  <c r="I36" i="1"/>
  <c r="E36" i="1"/>
  <c r="B36" i="1"/>
  <c r="L49" i="1"/>
  <c r="I49" i="1" l="1"/>
  <c r="E49" i="1"/>
  <c r="F40" i="1" s="1"/>
  <c r="F49" i="1" s="1"/>
  <c r="B49" i="1"/>
  <c r="H64" i="1"/>
  <c r="E64" i="1"/>
  <c r="B64" i="1"/>
  <c r="N71" i="1"/>
  <c r="H81" i="1"/>
  <c r="K68" i="1" s="1"/>
  <c r="K81" i="1" s="1"/>
  <c r="E81" i="1"/>
  <c r="B81" i="1"/>
  <c r="L94" i="1"/>
  <c r="I94" i="1"/>
  <c r="F94" i="1"/>
  <c r="B94" i="1"/>
  <c r="L102" i="1"/>
  <c r="I108" i="1"/>
  <c r="F108" i="1"/>
  <c r="B108" i="1"/>
  <c r="O117" i="1"/>
  <c r="L123" i="1"/>
  <c r="I123" i="1"/>
  <c r="F123" i="1"/>
  <c r="B123" i="1"/>
  <c r="N130" i="1"/>
  <c r="K135" i="1"/>
  <c r="I135" i="1"/>
  <c r="F135" i="1"/>
  <c r="B1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Beatriz</author>
  </authors>
  <commentList>
    <comment ref="E39" authorId="0" shapeId="0" xr:uid="{89E701A3-AB5D-4522-A8F4-86375C3AC737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VACACIONES
TAMEZ</t>
        </r>
      </text>
    </comment>
    <comment ref="I40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Beatriz:</t>
        </r>
        <r>
          <rPr>
            <sz val="9"/>
            <color indexed="81"/>
            <rFont val="Tahoma"/>
            <family val="2"/>
          </rPr>
          <t xml:space="preserve">
FALLA SISTEMA </t>
        </r>
      </text>
    </comment>
  </commentList>
</comments>
</file>

<file path=xl/sharedStrings.xml><?xml version="1.0" encoding="utf-8"?>
<sst xmlns="http://schemas.openxmlformats.org/spreadsheetml/2006/main" count="40" uniqueCount="37">
  <si>
    <t>29, 30</t>
  </si>
  <si>
    <t>10, 11, 12, 15</t>
  </si>
  <si>
    <t>1, 2, 3, 4</t>
  </si>
  <si>
    <t>5, 8</t>
  </si>
  <si>
    <t>17, 18. 19, 22</t>
  </si>
  <si>
    <r>
      <t xml:space="preserve">23, 24, </t>
    </r>
    <r>
      <rPr>
        <sz val="11"/>
        <color rgb="FFFF0000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26</t>
    </r>
  </si>
  <si>
    <t>1, 2, 5, 6, 7,</t>
  </si>
  <si>
    <t>8, 9, 12</t>
  </si>
  <si>
    <t>14, 15, 16, 19</t>
  </si>
  <si>
    <t>21, 22, 23, 26</t>
  </si>
  <si>
    <t>28, 29</t>
  </si>
  <si>
    <r>
      <rPr>
        <sz val="11"/>
        <color rgb="FFFF0000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, 3, 4, 5, 6</t>
    </r>
  </si>
  <si>
    <t>11, 12, 13, 16</t>
  </si>
  <si>
    <t>18, 19, 20, 23</t>
  </si>
  <si>
    <t>2, 3, 4, 5, 6, 9</t>
  </si>
  <si>
    <r>
      <t xml:space="preserve">11, 12, 13, </t>
    </r>
    <r>
      <rPr>
        <sz val="11"/>
        <color rgb="FFFF0000"/>
        <rFont val="Calibri"/>
        <family val="2"/>
        <scheme val="minor"/>
      </rPr>
      <t>16</t>
    </r>
  </si>
  <si>
    <t>18,19,20,23</t>
  </si>
  <si>
    <t>25, 26, 27, 30</t>
  </si>
  <si>
    <t>1, 2, 3, 6, 7</t>
  </si>
  <si>
    <t>8, 9, 10,13</t>
  </si>
  <si>
    <t>15, 16, 17, 20</t>
  </si>
  <si>
    <t>22,23,24,27</t>
  </si>
  <si>
    <t xml:space="preserve">1, 4, 5, 6, 7, 8 </t>
  </si>
  <si>
    <t>13, 14, 15,18</t>
  </si>
  <si>
    <t>20, 21,22, 25</t>
  </si>
  <si>
    <t>1, 2, 3, 4, 5, 8</t>
  </si>
  <si>
    <t>DEP ING</t>
  </si>
  <si>
    <t>17, 18, 19, 22</t>
  </si>
  <si>
    <t>24, 25, 26, 29</t>
  </si>
  <si>
    <t>1, 2, 3, 6</t>
  </si>
  <si>
    <t>8, 9, 10 , 13</t>
  </si>
  <si>
    <t>22, 23, 24, 27</t>
  </si>
  <si>
    <t>3, 4, 5, 6, 7, 10</t>
  </si>
  <si>
    <t>12, 13, 14, 17</t>
  </si>
  <si>
    <t>19, 20, 21, 24</t>
  </si>
  <si>
    <t>26, 27, 28</t>
  </si>
  <si>
    <t>1, 2, 3, 4, 7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</si>
</sst>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.00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 applyAlignment="1">
      <alignment horizontal="right"/>
    </xf>
    <xf numFmtId="16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" fillId="2" borderId="0" xfId="0" applyFont="1" applyFill="1"/>
    <xf numFmtId="2" fontId="0" fillId="2" borderId="0" xfId="0" applyNumberFormat="1" applyFill="1"/>
    <xf numFmtId="16" fontId="0" fillId="2" borderId="0" xfId="0" applyNumberFormat="1" applyFill="1"/>
    <xf numFmtId="43" fontId="0" fillId="2" borderId="0" xfId="1" applyFont="1" applyFill="1" applyBorder="1" applyAlignment="1">
      <alignment horizontal="right"/>
    </xf>
    <xf numFmtId="43" fontId="0" fillId="2" borderId="0" xfId="0" applyNumberFormat="1" applyFill="1"/>
    <xf numFmtId="14" fontId="5" fillId="2" borderId="0" xfId="0" applyNumberFormat="1" applyFont="1" applyFill="1"/>
    <xf numFmtId="0" fontId="5" fillId="2" borderId="0" xfId="0" applyFont="1" applyFill="1"/>
    <xf numFmtId="164" fontId="0" fillId="2" borderId="0" xfId="0" applyNumberFormat="1" applyFill="1" applyAlignment="1">
      <alignment horizontal="right"/>
    </xf>
    <xf numFmtId="0" fontId="2" fillId="2" borderId="0" xfId="0" applyFont="1" applyFill="1"/>
    <xf numFmtId="164" fontId="0" fillId="2" borderId="0" xfId="0" applyNumberFormat="1" applyFill="1"/>
    <xf numFmtId="0" fontId="3" fillId="2" borderId="0" xfId="0" applyFont="1" applyFill="1"/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right"/>
    </xf>
    <xf numFmtId="16" fontId="11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1" fillId="2" borderId="0" xfId="0" applyNumberFormat="1" applyFont="1" applyFill="1" applyAlignment="1">
      <alignment horizontal="right"/>
    </xf>
    <xf numFmtId="2" fontId="10" fillId="2" borderId="0" xfId="0" applyNumberFormat="1" applyFont="1" applyFill="1"/>
    <xf numFmtId="0" fontId="12" fillId="2" borderId="0" xfId="0" applyFont="1" applyFill="1"/>
    <xf numFmtId="17" fontId="11" fillId="2" borderId="0" xfId="0" applyNumberFormat="1" applyFont="1" applyFill="1" applyAlignment="1">
      <alignment horizontal="left"/>
    </xf>
    <xf numFmtId="2" fontId="0" fillId="0" borderId="1" xfId="0" applyNumberFormat="1" applyBorder="1"/>
    <xf numFmtId="16" fontId="0" fillId="2" borderId="0" xfId="0" applyNumberFormat="1" applyFill="1" applyAlignment="1">
      <alignment horizontal="right"/>
    </xf>
    <xf numFmtId="2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1" fontId="0" fillId="2" borderId="0" xfId="0" applyNumberFormat="1" applyFill="1" applyAlignment="1">
      <alignment horizontal="right"/>
    </xf>
    <xf numFmtId="166" fontId="0" fillId="2" borderId="0" xfId="0" applyNumberFormat="1" applyFill="1"/>
    <xf numFmtId="1" fontId="0" fillId="2" borderId="0" xfId="0" applyNumberFormat="1" applyFill="1"/>
    <xf numFmtId="43" fontId="0" fillId="2" borderId="0" xfId="1" applyFont="1" applyFill="1" applyBorder="1"/>
    <xf numFmtId="16" fontId="2" fillId="2" borderId="0" xfId="0" applyNumberFormat="1" applyFont="1" applyFill="1"/>
    <xf numFmtId="0" fontId="9" fillId="2" borderId="0" xfId="2" applyFill="1" applyBorder="1" applyAlignment="1" applyProtection="1"/>
    <xf numFmtId="0" fontId="6" fillId="2" borderId="0" xfId="0" applyFont="1" applyFill="1"/>
    <xf numFmtId="0" fontId="10" fillId="0" borderId="0" xfId="0" applyFont="1" applyAlignment="1">
      <alignment horizontal="right"/>
    </xf>
    <xf numFmtId="1" fontId="0" fillId="0" borderId="0" xfId="0" applyNumberFormat="1"/>
    <xf numFmtId="16" fontId="2" fillId="0" borderId="0" xfId="0" applyNumberFormat="1" applyFont="1"/>
    <xf numFmtId="0" fontId="2" fillId="0" borderId="0" xfId="0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C911"/>
  <sheetViews>
    <sheetView tabSelected="1" topLeftCell="E1" workbookViewId="0">
      <selection activeCell="R14" sqref="R14"/>
    </sheetView>
  </sheetViews>
  <sheetFormatPr baseColWidth="10" defaultRowHeight="15" x14ac:dyDescent="0.25"/>
  <cols>
    <col min="5" max="5" width="9.5703125" customWidth="1"/>
    <col min="6" max="6" width="9.7109375" customWidth="1"/>
    <col min="7" max="7" width="11.140625" customWidth="1"/>
    <col min="9" max="9" width="11.140625" customWidth="1"/>
    <col min="10" max="10" width="11.85546875" bestFit="1" customWidth="1"/>
    <col min="12" max="12" width="13.42578125" customWidth="1"/>
    <col min="13" max="13" width="9.140625" customWidth="1"/>
    <col min="16" max="16" width="12.140625" customWidth="1"/>
    <col min="17" max="17" width="11.5703125" customWidth="1"/>
    <col min="18" max="18" width="12" bestFit="1" customWidth="1"/>
    <col min="19" max="19" width="11.28515625" customWidth="1"/>
  </cols>
  <sheetData>
    <row r="3" spans="5:8" x14ac:dyDescent="0.25">
      <c r="E3" s="44">
        <v>46269</v>
      </c>
    </row>
    <row r="4" spans="5:8" x14ac:dyDescent="0.25">
      <c r="E4" s="5">
        <v>18553.5</v>
      </c>
      <c r="F4" t="s">
        <v>36</v>
      </c>
    </row>
    <row r="5" spans="5:8" x14ac:dyDescent="0.25">
      <c r="E5" s="5">
        <v>6844</v>
      </c>
      <c r="F5">
        <v>14507</v>
      </c>
      <c r="H5">
        <v>87046.5</v>
      </c>
    </row>
    <row r="6" spans="5:8" x14ac:dyDescent="0.25">
      <c r="E6" s="5">
        <v>13849</v>
      </c>
      <c r="H6">
        <v>72535</v>
      </c>
    </row>
    <row r="7" spans="5:8" x14ac:dyDescent="0.25">
      <c r="E7" s="5">
        <v>18212.5</v>
      </c>
      <c r="F7" s="7">
        <v>46273</v>
      </c>
      <c r="H7">
        <f>H5-H6</f>
        <v>14511.5</v>
      </c>
    </row>
    <row r="8" spans="5:8" x14ac:dyDescent="0.25">
      <c r="E8" s="5">
        <v>11961.5</v>
      </c>
      <c r="F8">
        <v>14511.5</v>
      </c>
    </row>
    <row r="9" spans="5:8" x14ac:dyDescent="0.25">
      <c r="E9" s="5">
        <v>17626</v>
      </c>
    </row>
    <row r="10" spans="5:8" x14ac:dyDescent="0.25">
      <c r="E10" s="5"/>
    </row>
    <row r="11" spans="5:8" x14ac:dyDescent="0.25">
      <c r="E11" s="5"/>
    </row>
    <row r="12" spans="5:8" x14ac:dyDescent="0.25">
      <c r="E12" s="30">
        <f>SUM(E4:E11)</f>
        <v>87046.5</v>
      </c>
    </row>
    <row r="17" spans="2:16" x14ac:dyDescent="0.25">
      <c r="B17" s="44">
        <v>46241</v>
      </c>
      <c r="E17" s="44">
        <v>46248</v>
      </c>
      <c r="I17" s="45"/>
      <c r="L17" s="44">
        <v>46262</v>
      </c>
    </row>
    <row r="18" spans="2:16" x14ac:dyDescent="0.25">
      <c r="B18" s="5">
        <v>14914</v>
      </c>
      <c r="C18" t="s">
        <v>32</v>
      </c>
      <c r="E18" s="5">
        <v>16123</v>
      </c>
      <c r="F18" t="s">
        <v>33</v>
      </c>
      <c r="I18" s="5">
        <v>10440</v>
      </c>
      <c r="J18" s="4" t="s">
        <v>34</v>
      </c>
      <c r="L18" s="5">
        <v>8573.5</v>
      </c>
      <c r="M18" s="4" t="s">
        <v>35</v>
      </c>
    </row>
    <row r="19" spans="2:16" x14ac:dyDescent="0.25">
      <c r="B19" s="5">
        <v>15673.5</v>
      </c>
      <c r="C19">
        <v>11642</v>
      </c>
      <c r="E19" s="5">
        <v>11810.5</v>
      </c>
      <c r="F19">
        <v>16321</v>
      </c>
      <c r="I19" s="5">
        <v>13347.5</v>
      </c>
      <c r="J19">
        <v>16326</v>
      </c>
      <c r="L19" s="5">
        <v>13486.5</v>
      </c>
      <c r="M19">
        <v>20019</v>
      </c>
    </row>
    <row r="20" spans="2:16" x14ac:dyDescent="0.25">
      <c r="B20" s="5">
        <v>5676</v>
      </c>
      <c r="E20" s="5">
        <v>8601</v>
      </c>
      <c r="I20" s="5">
        <v>15472.5</v>
      </c>
      <c r="L20" s="5">
        <v>14007.5</v>
      </c>
    </row>
    <row r="21" spans="2:16" x14ac:dyDescent="0.25">
      <c r="B21" s="5">
        <v>13338.5</v>
      </c>
      <c r="C21" s="7">
        <v>46245</v>
      </c>
      <c r="E21" s="5">
        <v>11120</v>
      </c>
      <c r="F21" s="7">
        <v>46252</v>
      </c>
      <c r="I21" s="5">
        <v>13975</v>
      </c>
      <c r="J21" s="7">
        <v>46259</v>
      </c>
      <c r="L21" s="5">
        <v>13691</v>
      </c>
      <c r="M21" s="7">
        <v>46265</v>
      </c>
    </row>
    <row r="22" spans="2:16" x14ac:dyDescent="0.25">
      <c r="B22" s="5">
        <v>14288</v>
      </c>
      <c r="C22">
        <v>11644</v>
      </c>
      <c r="E22" s="5">
        <v>21290.5</v>
      </c>
      <c r="F22">
        <v>16322</v>
      </c>
      <c r="I22" s="5">
        <v>15571.5</v>
      </c>
      <c r="J22">
        <v>16328</v>
      </c>
      <c r="L22" s="5">
        <v>17631.5</v>
      </c>
    </row>
    <row r="23" spans="2:16" x14ac:dyDescent="0.25">
      <c r="B23" s="5">
        <v>17606</v>
      </c>
      <c r="E23" s="5">
        <v>12661</v>
      </c>
      <c r="I23" s="5">
        <v>12825.5</v>
      </c>
      <c r="L23" s="5">
        <v>12688</v>
      </c>
    </row>
    <row r="24" spans="2:16" x14ac:dyDescent="0.25">
      <c r="B24" s="5"/>
      <c r="E24" s="5"/>
      <c r="I24" s="5"/>
      <c r="L24" s="5"/>
    </row>
    <row r="25" spans="2:16" x14ac:dyDescent="0.25">
      <c r="B25" s="30">
        <f>SUM(B18:B24)</f>
        <v>81496</v>
      </c>
      <c r="E25" s="30">
        <f>SUM(E18:E24)</f>
        <v>81606</v>
      </c>
      <c r="I25" s="30">
        <f>SUM(I18:I24)</f>
        <v>81632</v>
      </c>
      <c r="L25" s="30">
        <f>SUM(L18:L24)</f>
        <v>80078</v>
      </c>
    </row>
    <row r="28" spans="2:16" x14ac:dyDescent="0.25">
      <c r="B28" s="44">
        <v>46206</v>
      </c>
      <c r="E28" s="44">
        <v>46213</v>
      </c>
      <c r="I28" s="44">
        <v>46220</v>
      </c>
      <c r="L28" s="44">
        <v>46227</v>
      </c>
      <c r="O28" s="44">
        <v>46234</v>
      </c>
    </row>
    <row r="29" spans="2:16" x14ac:dyDescent="0.25">
      <c r="B29" s="5">
        <v>15418.5</v>
      </c>
      <c r="C29" s="4" t="s">
        <v>29</v>
      </c>
      <c r="E29" s="5">
        <v>12697.5</v>
      </c>
      <c r="F29" t="s">
        <v>30</v>
      </c>
      <c r="I29" s="5">
        <v>14181.5</v>
      </c>
      <c r="J29" t="s">
        <v>20</v>
      </c>
      <c r="L29" s="5">
        <v>20337</v>
      </c>
      <c r="M29" t="s">
        <v>31</v>
      </c>
      <c r="O29" s="5">
        <v>15045.5</v>
      </c>
      <c r="P29" s="4" t="s">
        <v>0</v>
      </c>
    </row>
    <row r="30" spans="2:16" x14ac:dyDescent="0.25">
      <c r="B30" s="5">
        <v>9774</v>
      </c>
      <c r="C30">
        <v>17426</v>
      </c>
      <c r="E30" s="5">
        <v>13186</v>
      </c>
      <c r="F30">
        <v>14516</v>
      </c>
      <c r="I30" s="5">
        <v>23962.5</v>
      </c>
      <c r="J30">
        <v>17431</v>
      </c>
      <c r="L30" s="5">
        <v>9429.5</v>
      </c>
      <c r="M30">
        <v>15443</v>
      </c>
      <c r="O30" s="5">
        <v>11297.5</v>
      </c>
      <c r="P30">
        <v>25246</v>
      </c>
    </row>
    <row r="31" spans="2:16" x14ac:dyDescent="0.25">
      <c r="B31" s="5">
        <v>16668.5</v>
      </c>
      <c r="E31" s="5">
        <v>10726.5</v>
      </c>
      <c r="I31" s="5">
        <v>8677.5</v>
      </c>
      <c r="L31" s="5">
        <v>11163.5</v>
      </c>
      <c r="O31" s="5">
        <v>8480</v>
      </c>
    </row>
    <row r="32" spans="2:16" x14ac:dyDescent="0.25">
      <c r="B32" s="5">
        <v>14006.5</v>
      </c>
      <c r="C32" s="7">
        <v>46210</v>
      </c>
      <c r="E32" s="5">
        <v>8614</v>
      </c>
      <c r="F32" s="7">
        <v>46217</v>
      </c>
      <c r="I32" s="5">
        <v>14168</v>
      </c>
      <c r="J32" s="7">
        <v>46224</v>
      </c>
      <c r="L32" s="5">
        <v>9340.5</v>
      </c>
      <c r="M32" s="7">
        <v>46231</v>
      </c>
      <c r="O32" s="5">
        <v>14264.5</v>
      </c>
      <c r="P32" s="7">
        <v>46234</v>
      </c>
    </row>
    <row r="33" spans="2:16" x14ac:dyDescent="0.25">
      <c r="B33" s="5">
        <v>18500.5</v>
      </c>
      <c r="C33">
        <v>17430.5</v>
      </c>
      <c r="E33" s="5">
        <v>14110.5</v>
      </c>
      <c r="F33">
        <v>14520.5</v>
      </c>
      <c r="I33" s="5">
        <v>14021.5</v>
      </c>
      <c r="J33">
        <v>17431</v>
      </c>
      <c r="L33" s="5">
        <v>14034.5</v>
      </c>
      <c r="M33">
        <v>15447.5</v>
      </c>
      <c r="O33" s="5">
        <v>13496.5</v>
      </c>
      <c r="P33">
        <v>26727.5</v>
      </c>
    </row>
    <row r="34" spans="2:16" x14ac:dyDescent="0.25">
      <c r="B34" s="5">
        <v>12766.5</v>
      </c>
      <c r="E34" s="5">
        <v>13250</v>
      </c>
      <c r="I34" s="5">
        <v>12144</v>
      </c>
      <c r="L34" s="5">
        <v>12914.5</v>
      </c>
      <c r="O34" s="5">
        <v>13155.5</v>
      </c>
    </row>
    <row r="35" spans="2:16" x14ac:dyDescent="0.25">
      <c r="B35" s="5"/>
      <c r="E35" s="5"/>
      <c r="I35" s="5"/>
      <c r="L35" s="5"/>
      <c r="O35" s="5"/>
    </row>
    <row r="36" spans="2:16" x14ac:dyDescent="0.25">
      <c r="B36" s="30">
        <f>SUM(B29:B35)</f>
        <v>87134.5</v>
      </c>
      <c r="E36" s="30">
        <f>SUM(E29:E35)</f>
        <v>72584.5</v>
      </c>
      <c r="I36" s="30">
        <f>SUM(I29:I35)</f>
        <v>87155</v>
      </c>
      <c r="L36" s="30">
        <f>SUM(L29:L35)</f>
        <v>77219.5</v>
      </c>
      <c r="O36" s="30">
        <f>SUM(O29:O35)</f>
        <v>75739.5</v>
      </c>
    </row>
    <row r="39" spans="2:16" x14ac:dyDescent="0.25">
      <c r="E39" s="4" t="s">
        <v>26</v>
      </c>
      <c r="F39" s="44">
        <v>46185</v>
      </c>
    </row>
    <row r="40" spans="2:16" x14ac:dyDescent="0.25">
      <c r="E40" s="44">
        <v>46178</v>
      </c>
      <c r="F40" s="5">
        <f>E49</f>
        <v>122985</v>
      </c>
    </row>
    <row r="41" spans="2:16" x14ac:dyDescent="0.25">
      <c r="B41" s="44">
        <v>46178</v>
      </c>
      <c r="I41" s="44">
        <v>46161</v>
      </c>
      <c r="L41" s="44">
        <v>46199</v>
      </c>
    </row>
    <row r="42" spans="2:16" x14ac:dyDescent="0.25">
      <c r="B42" s="5">
        <v>9389.5</v>
      </c>
      <c r="C42" t="s">
        <v>25</v>
      </c>
      <c r="E42" s="5">
        <v>16675</v>
      </c>
      <c r="F42" s="5">
        <v>16293.5</v>
      </c>
      <c r="G42" t="s">
        <v>1</v>
      </c>
      <c r="I42" s="5">
        <v>15077</v>
      </c>
      <c r="J42" t="s">
        <v>27</v>
      </c>
      <c r="L42" s="5">
        <v>17315</v>
      </c>
      <c r="M42" t="s">
        <v>28</v>
      </c>
    </row>
    <row r="43" spans="2:16" x14ac:dyDescent="0.25">
      <c r="B43" s="5">
        <v>18685</v>
      </c>
      <c r="C43">
        <v>13666</v>
      </c>
      <c r="E43" s="5">
        <v>27785</v>
      </c>
      <c r="F43" s="5">
        <v>13086.5</v>
      </c>
      <c r="G43" s="5">
        <v>41592</v>
      </c>
      <c r="I43" s="5">
        <v>10683.5</v>
      </c>
      <c r="J43" s="5">
        <v>17194</v>
      </c>
      <c r="L43" s="5">
        <v>14797.5</v>
      </c>
      <c r="M43" s="5">
        <v>16509</v>
      </c>
      <c r="O43" s="5"/>
    </row>
    <row r="44" spans="2:16" x14ac:dyDescent="0.25">
      <c r="B44" s="5">
        <v>15013</v>
      </c>
      <c r="E44" s="5">
        <v>19180</v>
      </c>
      <c r="F44" s="5">
        <v>17971.5</v>
      </c>
      <c r="I44" s="5">
        <v>14874.5</v>
      </c>
      <c r="L44" s="5">
        <v>16693.5</v>
      </c>
    </row>
    <row r="45" spans="2:16" x14ac:dyDescent="0.25">
      <c r="B45" s="5">
        <v>20490.5</v>
      </c>
      <c r="C45" s="7">
        <v>46182</v>
      </c>
      <c r="E45" s="5">
        <v>18743</v>
      </c>
      <c r="F45" s="5">
        <v>9923.5</v>
      </c>
      <c r="G45" s="7">
        <v>46189</v>
      </c>
      <c r="I45" s="5">
        <v>14330.5</v>
      </c>
      <c r="J45" s="7">
        <v>46196</v>
      </c>
      <c r="L45" s="5">
        <v>12734</v>
      </c>
      <c r="M45" s="7">
        <v>46203</v>
      </c>
      <c r="O45" s="5"/>
    </row>
    <row r="46" spans="2:16" x14ac:dyDescent="0.25">
      <c r="B46" s="5">
        <v>17797.5</v>
      </c>
      <c r="C46">
        <v>13669.5</v>
      </c>
      <c r="E46" s="5">
        <v>24421</v>
      </c>
      <c r="F46" s="5">
        <v>13713</v>
      </c>
      <c r="G46" s="5">
        <v>41596.5</v>
      </c>
      <c r="I46" s="5">
        <v>15793.5</v>
      </c>
      <c r="J46" s="5">
        <v>17197</v>
      </c>
      <c r="L46" s="5">
        <v>13991</v>
      </c>
      <c r="M46" s="5">
        <v>16513</v>
      </c>
    </row>
    <row r="47" spans="2:16" x14ac:dyDescent="0.25">
      <c r="B47" s="5">
        <v>14290</v>
      </c>
      <c r="E47" s="5">
        <v>16181</v>
      </c>
      <c r="F47" s="5">
        <v>13991.5</v>
      </c>
      <c r="I47" s="5">
        <v>15214</v>
      </c>
      <c r="L47" s="5">
        <v>7018</v>
      </c>
    </row>
    <row r="48" spans="2:16" x14ac:dyDescent="0.25">
      <c r="E48" s="5"/>
      <c r="F48" s="5"/>
      <c r="I48" s="5"/>
    </row>
    <row r="49" spans="2:15" x14ac:dyDescent="0.25">
      <c r="B49" s="30">
        <f>SUM(B42:B48)</f>
        <v>95665.5</v>
      </c>
      <c r="E49" s="5">
        <f>SUM(E42:E48)</f>
        <v>122985</v>
      </c>
      <c r="F49" s="30">
        <f>SUM(F40:F47)</f>
        <v>207964.5</v>
      </c>
      <c r="I49" s="30">
        <f>SUM(I42:I48)</f>
        <v>85973</v>
      </c>
      <c r="L49" s="30">
        <f>SUM(L42:L48)</f>
        <v>82549</v>
      </c>
    </row>
    <row r="50" spans="2:15" x14ac:dyDescent="0.25">
      <c r="O50" s="7"/>
    </row>
    <row r="51" spans="2:15" x14ac:dyDescent="0.25">
      <c r="O51" s="7"/>
    </row>
    <row r="52" spans="2:15" x14ac:dyDescent="0.25">
      <c r="O52" s="7"/>
    </row>
    <row r="53" spans="2:15" x14ac:dyDescent="0.25">
      <c r="O53" s="7"/>
    </row>
    <row r="54" spans="2:15" x14ac:dyDescent="0.25">
      <c r="B54" s="44">
        <v>46150</v>
      </c>
      <c r="E54" s="44">
        <v>46157</v>
      </c>
      <c r="H54" s="44">
        <v>46164</v>
      </c>
      <c r="O54" s="7"/>
    </row>
    <row r="55" spans="2:15" x14ac:dyDescent="0.25">
      <c r="B55" s="5">
        <v>13513.5</v>
      </c>
      <c r="C55" t="s">
        <v>22</v>
      </c>
      <c r="E55" s="5">
        <v>17058</v>
      </c>
      <c r="F55" t="s">
        <v>23</v>
      </c>
      <c r="H55" s="5">
        <v>5682.5</v>
      </c>
      <c r="I55" t="s">
        <v>24</v>
      </c>
      <c r="O55" s="7"/>
    </row>
    <row r="56" spans="2:15" x14ac:dyDescent="0.25">
      <c r="B56" s="5">
        <v>8376</v>
      </c>
      <c r="C56">
        <v>11</v>
      </c>
      <c r="E56" s="5">
        <v>16758</v>
      </c>
      <c r="H56" s="5">
        <v>13420</v>
      </c>
      <c r="O56" s="7"/>
    </row>
    <row r="57" spans="2:15" x14ac:dyDescent="0.25">
      <c r="B57" s="5">
        <v>15712</v>
      </c>
      <c r="C57">
        <v>12423</v>
      </c>
      <c r="E57" s="5">
        <v>12992.5</v>
      </c>
      <c r="F57">
        <v>18833</v>
      </c>
      <c r="H57" s="5">
        <v>14784.5</v>
      </c>
      <c r="I57">
        <v>18324</v>
      </c>
      <c r="O57" s="7"/>
    </row>
    <row r="58" spans="2:15" x14ac:dyDescent="0.25">
      <c r="B58" s="5">
        <v>13572.5</v>
      </c>
      <c r="E58" s="5">
        <v>17974</v>
      </c>
      <c r="H58" s="5">
        <v>23527.5</v>
      </c>
      <c r="O58" s="7"/>
    </row>
    <row r="59" spans="2:15" x14ac:dyDescent="0.25">
      <c r="B59" s="5">
        <v>16218</v>
      </c>
      <c r="E59" s="5">
        <v>12810.5</v>
      </c>
      <c r="H59" s="5">
        <v>18553.5</v>
      </c>
      <c r="O59" s="7"/>
    </row>
    <row r="60" spans="2:15" x14ac:dyDescent="0.25">
      <c r="B60" s="5">
        <v>17385</v>
      </c>
      <c r="C60">
        <v>12</v>
      </c>
      <c r="E60" s="5">
        <v>16576</v>
      </c>
      <c r="F60">
        <v>19</v>
      </c>
      <c r="H60" s="5">
        <v>15652</v>
      </c>
      <c r="I60">
        <v>26</v>
      </c>
      <c r="O60" s="7"/>
    </row>
    <row r="61" spans="2:15" x14ac:dyDescent="0.25">
      <c r="B61" s="5">
        <v>14611</v>
      </c>
      <c r="C61">
        <v>12427</v>
      </c>
      <c r="E61" s="5"/>
      <c r="F61">
        <v>18837</v>
      </c>
      <c r="H61" s="5"/>
      <c r="O61" s="7"/>
    </row>
    <row r="62" spans="2:15" x14ac:dyDescent="0.25">
      <c r="B62" s="5"/>
      <c r="E62" s="5"/>
      <c r="H62" s="5"/>
      <c r="O62" s="7"/>
    </row>
    <row r="63" spans="2:15" x14ac:dyDescent="0.25">
      <c r="B63" s="5"/>
      <c r="E63" s="5"/>
      <c r="H63" s="5"/>
      <c r="O63" s="7"/>
    </row>
    <row r="64" spans="2:15" x14ac:dyDescent="0.25">
      <c r="B64" s="30">
        <f>SUM(B55:B63)</f>
        <v>99388</v>
      </c>
      <c r="E64" s="30">
        <f>SUM(E55:E63)</f>
        <v>94169</v>
      </c>
      <c r="H64" s="30">
        <f>SUM(H55:H63)</f>
        <v>91620</v>
      </c>
      <c r="O64" s="7"/>
    </row>
    <row r="65" spans="2:15" x14ac:dyDescent="0.25">
      <c r="O65" s="7"/>
    </row>
    <row r="66" spans="2:15" x14ac:dyDescent="0.25">
      <c r="O66" s="7"/>
    </row>
    <row r="67" spans="2:15" x14ac:dyDescent="0.25">
      <c r="K67" s="44">
        <v>46142</v>
      </c>
    </row>
    <row r="68" spans="2:15" x14ac:dyDescent="0.25">
      <c r="B68" s="44">
        <v>46122</v>
      </c>
      <c r="E68" s="44">
        <v>46129</v>
      </c>
      <c r="H68" s="44">
        <v>46136</v>
      </c>
      <c r="K68" s="5">
        <f>H81</f>
        <v>105113</v>
      </c>
    </row>
    <row r="69" spans="2:15" x14ac:dyDescent="0.25">
      <c r="B69" s="5">
        <v>9953.5</v>
      </c>
      <c r="C69" s="4" t="s">
        <v>18</v>
      </c>
      <c r="E69" s="5">
        <v>13747</v>
      </c>
      <c r="F69" t="s">
        <v>20</v>
      </c>
      <c r="H69" s="5">
        <v>13242</v>
      </c>
      <c r="I69" t="s">
        <v>21</v>
      </c>
      <c r="K69" s="5">
        <v>14471</v>
      </c>
      <c r="L69">
        <v>29</v>
      </c>
      <c r="N69">
        <v>179811</v>
      </c>
    </row>
    <row r="70" spans="2:15" x14ac:dyDescent="0.25">
      <c r="B70" s="5">
        <v>14891</v>
      </c>
      <c r="C70" s="4" t="s">
        <v>19</v>
      </c>
      <c r="E70" s="5">
        <v>23669.5</v>
      </c>
      <c r="F70">
        <v>20490</v>
      </c>
      <c r="H70" s="5">
        <v>9769</v>
      </c>
      <c r="I70">
        <v>25687</v>
      </c>
      <c r="K70" s="5">
        <v>13489</v>
      </c>
      <c r="L70">
        <v>25687</v>
      </c>
      <c r="N70">
        <v>154122</v>
      </c>
    </row>
    <row r="71" spans="2:15" x14ac:dyDescent="0.25">
      <c r="B71" s="5">
        <v>11125.5</v>
      </c>
      <c r="C71">
        <v>16346</v>
      </c>
      <c r="E71" s="5">
        <v>16282</v>
      </c>
      <c r="H71" s="5">
        <v>15891</v>
      </c>
      <c r="K71" s="5">
        <v>8330</v>
      </c>
      <c r="N71">
        <f>N69-N70</f>
        <v>25689</v>
      </c>
    </row>
    <row r="72" spans="2:15" x14ac:dyDescent="0.25">
      <c r="B72" s="5">
        <v>19449</v>
      </c>
      <c r="E72" s="5">
        <v>17995.5</v>
      </c>
      <c r="H72" s="5">
        <v>19853</v>
      </c>
      <c r="K72" s="5">
        <v>23835.5</v>
      </c>
    </row>
    <row r="73" spans="2:15" x14ac:dyDescent="0.25">
      <c r="B73" s="5">
        <v>18547</v>
      </c>
      <c r="C73" s="7">
        <v>46126</v>
      </c>
      <c r="E73" s="5">
        <v>16188</v>
      </c>
      <c r="F73" s="7">
        <v>46133</v>
      </c>
      <c r="H73" s="5">
        <v>21561.5</v>
      </c>
      <c r="I73" s="7">
        <v>46140</v>
      </c>
      <c r="K73" s="5">
        <v>14572.5</v>
      </c>
      <c r="L73" s="7">
        <v>46142</v>
      </c>
    </row>
    <row r="74" spans="2:15" x14ac:dyDescent="0.25">
      <c r="B74" s="5">
        <v>17879.5</v>
      </c>
      <c r="C74">
        <v>16347</v>
      </c>
      <c r="E74" s="5">
        <v>14569.5</v>
      </c>
      <c r="F74">
        <v>20491.5</v>
      </c>
      <c r="H74" s="5">
        <v>24796.5</v>
      </c>
      <c r="I74">
        <v>25687</v>
      </c>
      <c r="L74">
        <v>25689</v>
      </c>
    </row>
    <row r="75" spans="2:15" x14ac:dyDescent="0.25">
      <c r="B75" s="5">
        <v>13844.5</v>
      </c>
      <c r="E75" s="5"/>
      <c r="H75" s="5"/>
    </row>
    <row r="76" spans="2:15" x14ac:dyDescent="0.25">
      <c r="B76" s="5">
        <v>13957</v>
      </c>
      <c r="E76" s="5"/>
      <c r="H76" s="5"/>
    </row>
    <row r="77" spans="2:15" x14ac:dyDescent="0.25">
      <c r="B77" s="5">
        <v>15621.5</v>
      </c>
      <c r="E77" s="5"/>
      <c r="H77" s="5"/>
    </row>
    <row r="78" spans="2:15" x14ac:dyDescent="0.25">
      <c r="B78" s="5">
        <v>21147</v>
      </c>
      <c r="E78" s="5"/>
      <c r="H78" s="5"/>
    </row>
    <row r="79" spans="2:15" x14ac:dyDescent="0.25">
      <c r="B79" s="5">
        <v>7045.5</v>
      </c>
      <c r="E79" s="5"/>
      <c r="H79" s="5"/>
    </row>
    <row r="80" spans="2:15" x14ac:dyDescent="0.25">
      <c r="B80" s="5"/>
      <c r="E80" s="5"/>
      <c r="H80" s="5"/>
    </row>
    <row r="81" spans="2:13" x14ac:dyDescent="0.25">
      <c r="B81" s="30">
        <f>SUM(B69:B80)</f>
        <v>163461</v>
      </c>
      <c r="E81" s="30">
        <f>SUM(E69:E80)</f>
        <v>102451.5</v>
      </c>
      <c r="H81" s="30">
        <f>SUM(H69:H80)</f>
        <v>105113</v>
      </c>
      <c r="K81" s="30">
        <f>SUM(K68:K80)</f>
        <v>179811</v>
      </c>
    </row>
    <row r="85" spans="2:13" x14ac:dyDescent="0.25">
      <c r="B85" s="7">
        <v>46087</v>
      </c>
      <c r="C85" t="s">
        <v>14</v>
      </c>
      <c r="F85" s="7">
        <v>46094</v>
      </c>
      <c r="G85" t="s">
        <v>15</v>
      </c>
      <c r="I85" s="7">
        <v>46101</v>
      </c>
      <c r="J85" s="4" t="s">
        <v>16</v>
      </c>
      <c r="L85" s="7">
        <v>46108</v>
      </c>
      <c r="M85" t="s">
        <v>17</v>
      </c>
    </row>
    <row r="86" spans="2:13" x14ac:dyDescent="0.25">
      <c r="B86" s="5">
        <v>14062</v>
      </c>
      <c r="C86">
        <v>12550</v>
      </c>
      <c r="F86" s="5">
        <v>13118</v>
      </c>
      <c r="G86">
        <v>22106</v>
      </c>
      <c r="I86" s="5">
        <v>16225.5</v>
      </c>
      <c r="J86">
        <v>19040</v>
      </c>
      <c r="L86" s="5">
        <v>18380</v>
      </c>
      <c r="M86">
        <v>17276</v>
      </c>
    </row>
    <row r="87" spans="2:13" x14ac:dyDescent="0.25">
      <c r="B87" s="5">
        <v>13366</v>
      </c>
      <c r="F87" s="5">
        <v>15053.5</v>
      </c>
      <c r="I87" s="5">
        <v>17324</v>
      </c>
      <c r="L87" s="5">
        <v>10082.549999999999</v>
      </c>
    </row>
    <row r="88" spans="2:13" x14ac:dyDescent="0.25">
      <c r="B88" s="5">
        <v>9358.5</v>
      </c>
      <c r="C88" s="7">
        <v>46091</v>
      </c>
      <c r="F88" s="5">
        <v>18093</v>
      </c>
      <c r="G88" s="7">
        <v>46098</v>
      </c>
      <c r="I88" s="5">
        <v>15884</v>
      </c>
      <c r="J88" s="7">
        <v>46105</v>
      </c>
      <c r="L88" s="5">
        <v>14062</v>
      </c>
      <c r="M88" s="7">
        <v>46112</v>
      </c>
    </row>
    <row r="89" spans="2:13" x14ac:dyDescent="0.25">
      <c r="B89" s="5">
        <v>16347.5</v>
      </c>
      <c r="C89" s="5">
        <v>12552.5</v>
      </c>
      <c r="F89" s="5">
        <v>8637.5</v>
      </c>
      <c r="G89" s="43">
        <v>22108</v>
      </c>
      <c r="I89" s="5">
        <v>9382.5</v>
      </c>
      <c r="J89">
        <v>19044.5</v>
      </c>
      <c r="L89" s="5">
        <v>12861.5</v>
      </c>
    </row>
    <row r="90" spans="2:13" x14ac:dyDescent="0.25">
      <c r="B90" s="5">
        <v>18942</v>
      </c>
      <c r="F90" s="5">
        <v>14706</v>
      </c>
      <c r="I90" s="5">
        <v>18428.5</v>
      </c>
      <c r="L90" s="5">
        <v>14582.5</v>
      </c>
    </row>
    <row r="91" spans="2:13" x14ac:dyDescent="0.25">
      <c r="B91" s="5">
        <v>15776.5</v>
      </c>
      <c r="F91" s="5">
        <v>18818</v>
      </c>
      <c r="I91" s="5">
        <v>17960</v>
      </c>
      <c r="L91" s="5">
        <v>16413</v>
      </c>
    </row>
    <row r="92" spans="2:13" x14ac:dyDescent="0.25">
      <c r="B92" s="5"/>
      <c r="F92" s="5"/>
      <c r="I92" s="5"/>
      <c r="L92" s="5"/>
    </row>
    <row r="93" spans="2:13" x14ac:dyDescent="0.25">
      <c r="B93" s="5"/>
      <c r="F93" s="5"/>
      <c r="I93" s="5"/>
      <c r="L93" s="5"/>
    </row>
    <row r="94" spans="2:13" x14ac:dyDescent="0.25">
      <c r="B94" s="30">
        <f>SUM(B86:B93)</f>
        <v>87852.5</v>
      </c>
      <c r="F94" s="30">
        <f>SUM(F86:F93)</f>
        <v>88426</v>
      </c>
      <c r="I94" s="30">
        <f>SUM(I86:I93)</f>
        <v>95204.5</v>
      </c>
      <c r="L94" s="30">
        <f>SUM(L86:L93)</f>
        <v>86381.55</v>
      </c>
    </row>
    <row r="98" spans="2:12" x14ac:dyDescent="0.25">
      <c r="B98" s="7">
        <v>46059</v>
      </c>
      <c r="F98" s="7">
        <v>46066</v>
      </c>
      <c r="I98" s="7">
        <v>46073</v>
      </c>
    </row>
    <row r="99" spans="2:12" x14ac:dyDescent="0.25">
      <c r="B99" s="5">
        <v>19633.5</v>
      </c>
      <c r="C99" s="42" t="s">
        <v>11</v>
      </c>
      <c r="F99" s="5">
        <v>24187</v>
      </c>
      <c r="G99" t="s">
        <v>12</v>
      </c>
      <c r="I99" s="5">
        <v>11324.5</v>
      </c>
      <c r="J99" t="s">
        <v>13</v>
      </c>
    </row>
    <row r="100" spans="2:12" x14ac:dyDescent="0.25">
      <c r="B100" s="5">
        <v>15134</v>
      </c>
      <c r="C100">
        <v>9</v>
      </c>
      <c r="F100" s="5">
        <v>17969.5</v>
      </c>
      <c r="G100">
        <v>21978</v>
      </c>
      <c r="I100" s="5">
        <v>11658</v>
      </c>
      <c r="J100">
        <v>19239</v>
      </c>
      <c r="L100">
        <v>96198.5</v>
      </c>
    </row>
    <row r="101" spans="2:12" x14ac:dyDescent="0.25">
      <c r="B101" s="5">
        <v>11204</v>
      </c>
      <c r="C101">
        <v>15552</v>
      </c>
      <c r="F101" s="5">
        <v>12684</v>
      </c>
      <c r="H101" s="7"/>
      <c r="I101" s="5">
        <v>18748</v>
      </c>
      <c r="L101">
        <v>76956</v>
      </c>
    </row>
    <row r="102" spans="2:12" x14ac:dyDescent="0.25">
      <c r="B102" s="5">
        <v>16084</v>
      </c>
      <c r="C102" s="7">
        <v>46063</v>
      </c>
      <c r="F102" s="5">
        <v>19378</v>
      </c>
      <c r="G102" s="7">
        <v>46070</v>
      </c>
      <c r="H102" s="5"/>
      <c r="I102" s="5">
        <v>15960</v>
      </c>
      <c r="J102" s="7">
        <v>46077</v>
      </c>
      <c r="L102">
        <f>L100-L101</f>
        <v>19242.5</v>
      </c>
    </row>
    <row r="103" spans="2:12" x14ac:dyDescent="0.25">
      <c r="B103" s="5">
        <v>13833</v>
      </c>
      <c r="C103">
        <v>15554</v>
      </c>
      <c r="F103" s="5">
        <v>16724</v>
      </c>
      <c r="G103">
        <v>21982</v>
      </c>
      <c r="H103" s="5"/>
      <c r="I103" s="5">
        <v>20029.5</v>
      </c>
      <c r="J103" s="5">
        <v>19242.5</v>
      </c>
    </row>
    <row r="104" spans="2:12" x14ac:dyDescent="0.25">
      <c r="B104" s="5">
        <v>17425.5</v>
      </c>
      <c r="F104" s="5">
        <v>18951.5</v>
      </c>
      <c r="H104" s="5"/>
      <c r="I104" s="5">
        <v>18478.5</v>
      </c>
    </row>
    <row r="105" spans="2:12" x14ac:dyDescent="0.25">
      <c r="F105" s="5"/>
      <c r="H105" s="5"/>
      <c r="I105" s="5"/>
    </row>
    <row r="106" spans="2:12" x14ac:dyDescent="0.25">
      <c r="F106" s="5"/>
      <c r="H106" s="5"/>
      <c r="I106" s="5"/>
    </row>
    <row r="107" spans="2:12" x14ac:dyDescent="0.25">
      <c r="F107" s="5"/>
      <c r="H107" s="5"/>
      <c r="I107" s="5"/>
    </row>
    <row r="108" spans="2:12" x14ac:dyDescent="0.25">
      <c r="B108" s="30">
        <f>SUM(B99:B107)</f>
        <v>93314</v>
      </c>
      <c r="F108" s="30">
        <f>SUM(F99:F107)</f>
        <v>109894</v>
      </c>
      <c r="H108" s="5"/>
      <c r="I108" s="30">
        <f>SUM(I99:I107)</f>
        <v>96198.5</v>
      </c>
    </row>
    <row r="109" spans="2:12" x14ac:dyDescent="0.25">
      <c r="H109" s="5"/>
    </row>
    <row r="113" spans="2:15" x14ac:dyDescent="0.25">
      <c r="B113" s="7">
        <v>46031</v>
      </c>
      <c r="F113" s="7">
        <v>46038</v>
      </c>
      <c r="I113" s="7">
        <v>46045</v>
      </c>
      <c r="L113" s="7">
        <v>46052</v>
      </c>
    </row>
    <row r="114" spans="2:15" x14ac:dyDescent="0.25">
      <c r="B114" s="5">
        <v>15590.5</v>
      </c>
      <c r="C114" s="4" t="s">
        <v>6</v>
      </c>
      <c r="F114" s="5">
        <v>20160.5</v>
      </c>
      <c r="G114" s="4" t="s">
        <v>8</v>
      </c>
      <c r="I114" s="5">
        <v>19178</v>
      </c>
      <c r="J114" t="s">
        <v>9</v>
      </c>
      <c r="L114" s="5">
        <v>17526</v>
      </c>
      <c r="M114" s="4" t="s">
        <v>10</v>
      </c>
    </row>
    <row r="115" spans="2:15" x14ac:dyDescent="0.25">
      <c r="B115" s="5">
        <v>12234</v>
      </c>
      <c r="C115" s="4" t="s">
        <v>7</v>
      </c>
      <c r="F115" s="5">
        <v>20734</v>
      </c>
      <c r="G115">
        <v>19616</v>
      </c>
      <c r="I115" s="5">
        <v>17140</v>
      </c>
      <c r="J115">
        <v>20576</v>
      </c>
      <c r="L115" s="5">
        <v>13360.5</v>
      </c>
      <c r="M115">
        <v>39416</v>
      </c>
      <c r="O115">
        <v>118250</v>
      </c>
    </row>
    <row r="116" spans="2:15" x14ac:dyDescent="0.25">
      <c r="B116" s="5">
        <v>20954.5</v>
      </c>
      <c r="C116" s="4">
        <v>15363</v>
      </c>
      <c r="F116" s="5">
        <v>16940</v>
      </c>
      <c r="I116" s="5">
        <v>17711</v>
      </c>
      <c r="L116" s="5">
        <v>26901.5</v>
      </c>
      <c r="O116">
        <v>78832</v>
      </c>
    </row>
    <row r="117" spans="2:15" x14ac:dyDescent="0.25">
      <c r="B117" s="5">
        <v>17622</v>
      </c>
      <c r="F117" s="5">
        <v>14835.5</v>
      </c>
      <c r="I117" s="5">
        <v>11327.5</v>
      </c>
      <c r="L117" s="5">
        <v>23222</v>
      </c>
      <c r="O117">
        <f>O115-O116</f>
        <v>39418</v>
      </c>
    </row>
    <row r="118" spans="2:15" x14ac:dyDescent="0.25">
      <c r="B118" s="5">
        <v>19408</v>
      </c>
      <c r="C118" s="7">
        <v>46035</v>
      </c>
      <c r="F118" s="5">
        <v>8709</v>
      </c>
      <c r="G118" s="7">
        <v>46042</v>
      </c>
      <c r="I118" s="5">
        <v>19626.5</v>
      </c>
      <c r="J118" s="7">
        <v>46049</v>
      </c>
      <c r="L118" s="5">
        <v>17843</v>
      </c>
      <c r="M118" s="7">
        <v>46052</v>
      </c>
    </row>
    <row r="119" spans="2:15" x14ac:dyDescent="0.25">
      <c r="B119" s="5">
        <v>18632</v>
      </c>
      <c r="C119">
        <v>15369</v>
      </c>
      <c r="F119" s="5">
        <v>16703.5</v>
      </c>
      <c r="G119">
        <v>19618.5</v>
      </c>
      <c r="I119" s="5">
        <v>17898</v>
      </c>
      <c r="J119">
        <v>20577</v>
      </c>
      <c r="L119" s="5">
        <v>19397</v>
      </c>
      <c r="M119">
        <v>39418</v>
      </c>
    </row>
    <row r="120" spans="2:15" x14ac:dyDescent="0.25">
      <c r="B120" s="5">
        <v>14357</v>
      </c>
      <c r="F120" s="5"/>
      <c r="I120" s="5"/>
      <c r="L120" s="5"/>
    </row>
    <row r="121" spans="2:15" x14ac:dyDescent="0.25">
      <c r="B121" s="5">
        <v>19475</v>
      </c>
      <c r="F121" s="5"/>
      <c r="I121" s="5"/>
      <c r="L121" s="5"/>
    </row>
    <row r="122" spans="2:15" x14ac:dyDescent="0.25">
      <c r="B122" s="5"/>
      <c r="F122" s="5"/>
      <c r="I122" s="5"/>
      <c r="L122" s="5"/>
    </row>
    <row r="123" spans="2:15" x14ac:dyDescent="0.25">
      <c r="B123" s="30">
        <f>SUM(B114:B122)</f>
        <v>138273</v>
      </c>
      <c r="F123" s="30">
        <f>SUM(F114:F122)</f>
        <v>98082.5</v>
      </c>
      <c r="I123" s="30">
        <f>SUM(I114:I122)</f>
        <v>102881</v>
      </c>
      <c r="L123" s="30">
        <f>SUM(L114:L122)</f>
        <v>118250</v>
      </c>
    </row>
    <row r="126" spans="2:15" x14ac:dyDescent="0.25">
      <c r="L126" s="7">
        <v>46021</v>
      </c>
    </row>
    <row r="127" spans="2:15" x14ac:dyDescent="0.25">
      <c r="B127" s="7">
        <v>45997</v>
      </c>
      <c r="F127" s="7">
        <v>46007</v>
      </c>
      <c r="I127" s="7">
        <v>46010</v>
      </c>
      <c r="K127" s="5">
        <v>99770.5</v>
      </c>
      <c r="L127" t="s">
        <v>4</v>
      </c>
    </row>
    <row r="128" spans="2:15" x14ac:dyDescent="0.25">
      <c r="B128" s="5">
        <v>19110</v>
      </c>
      <c r="C128" s="4" t="s">
        <v>2</v>
      </c>
      <c r="F128" s="5">
        <v>17672</v>
      </c>
      <c r="G128" t="s">
        <v>1</v>
      </c>
      <c r="I128" s="5">
        <v>6203.5</v>
      </c>
      <c r="K128" s="5">
        <v>20067</v>
      </c>
      <c r="L128" t="s">
        <v>5</v>
      </c>
      <c r="N128">
        <v>186246</v>
      </c>
    </row>
    <row r="129" spans="2:24" x14ac:dyDescent="0.25">
      <c r="B129" s="5">
        <v>10682</v>
      </c>
      <c r="C129" s="4" t="s">
        <v>3</v>
      </c>
      <c r="F129" s="5">
        <v>17296.5</v>
      </c>
      <c r="I129" s="5">
        <v>21151.5</v>
      </c>
      <c r="K129" s="5">
        <v>14002</v>
      </c>
      <c r="L129" t="s">
        <v>0</v>
      </c>
      <c r="N129">
        <v>167616</v>
      </c>
    </row>
    <row r="130" spans="2:24" x14ac:dyDescent="0.25">
      <c r="B130" s="5">
        <v>22142</v>
      </c>
      <c r="C130">
        <v>14685</v>
      </c>
      <c r="F130" s="5">
        <v>11621.5</v>
      </c>
      <c r="G130">
        <v>19839</v>
      </c>
      <c r="I130" s="5">
        <v>17119</v>
      </c>
      <c r="K130" s="5">
        <v>16473.5</v>
      </c>
      <c r="L130">
        <v>18624</v>
      </c>
      <c r="N130">
        <f>N128-N129</f>
        <v>18630</v>
      </c>
    </row>
    <row r="131" spans="2:24" x14ac:dyDescent="0.25">
      <c r="B131" s="5">
        <v>19059</v>
      </c>
      <c r="F131" s="5">
        <v>17820</v>
      </c>
      <c r="I131" s="5">
        <v>19786</v>
      </c>
      <c r="K131" s="5">
        <v>7826</v>
      </c>
    </row>
    <row r="132" spans="2:24" x14ac:dyDescent="0.25">
      <c r="B132" s="5">
        <v>16394</v>
      </c>
      <c r="C132" s="7">
        <v>46000</v>
      </c>
      <c r="F132" s="5">
        <v>16015</v>
      </c>
      <c r="G132" s="7">
        <v>46007</v>
      </c>
      <c r="I132" s="5">
        <v>17780.5</v>
      </c>
      <c r="K132" s="5">
        <v>20436.5</v>
      </c>
      <c r="L132">
        <v>31</v>
      </c>
    </row>
    <row r="133" spans="2:24" x14ac:dyDescent="0.25">
      <c r="B133" s="5">
        <v>15414.5</v>
      </c>
      <c r="C133">
        <v>14691.5</v>
      </c>
      <c r="F133" s="5">
        <v>18771.5</v>
      </c>
      <c r="I133" s="5">
        <v>17730</v>
      </c>
      <c r="K133" s="5">
        <v>7670.5</v>
      </c>
      <c r="L133">
        <v>18630</v>
      </c>
    </row>
    <row r="134" spans="2:24" x14ac:dyDescent="0.25">
      <c r="F134" s="5"/>
      <c r="I134" s="5"/>
      <c r="K134" s="5"/>
    </row>
    <row r="135" spans="2:24" x14ac:dyDescent="0.25">
      <c r="B135" s="30">
        <f>SUM(B128:B134)</f>
        <v>102801.5</v>
      </c>
      <c r="F135" s="5">
        <f>SUM(F128:F134)</f>
        <v>99196.5</v>
      </c>
      <c r="I135" s="5">
        <f>SUM(I128:I134)</f>
        <v>99770.5</v>
      </c>
      <c r="K135" s="5">
        <f>SUM(K127:K134)</f>
        <v>186246</v>
      </c>
    </row>
    <row r="138" spans="2:24" s="2" customFormat="1" x14ac:dyDescent="0.25">
      <c r="W138" s="11"/>
    </row>
    <row r="139" spans="2:24" s="2" customFormat="1" x14ac:dyDescent="0.25">
      <c r="R139" s="25"/>
      <c r="S139" s="11"/>
      <c r="T139" s="23"/>
      <c r="U139" s="24"/>
      <c r="V139" s="25"/>
      <c r="W139" s="11"/>
      <c r="X139" s="25"/>
    </row>
    <row r="140" spans="2:24" s="2" customFormat="1" x14ac:dyDescent="0.25">
      <c r="R140" s="25"/>
      <c r="S140" s="26"/>
      <c r="T140" s="25"/>
      <c r="U140" s="6"/>
      <c r="V140" s="25"/>
      <c r="W140" s="11"/>
      <c r="X140" s="25"/>
    </row>
    <row r="141" spans="2:24" s="2" customFormat="1" x14ac:dyDescent="0.25">
      <c r="R141" s="25"/>
      <c r="S141" s="11"/>
      <c r="T141" s="25"/>
      <c r="V141" s="25"/>
      <c r="W141" s="11"/>
      <c r="X141" s="25"/>
    </row>
    <row r="142" spans="2:24" s="2" customFormat="1" x14ac:dyDescent="0.25">
      <c r="N142" s="10"/>
      <c r="Q142" s="12"/>
      <c r="R142" s="25"/>
      <c r="S142" s="11"/>
      <c r="T142" s="25"/>
      <c r="U142" s="12"/>
      <c r="V142" s="25"/>
      <c r="W142" s="11"/>
      <c r="X142" s="25"/>
    </row>
    <row r="143" spans="2:24" s="2" customFormat="1" x14ac:dyDescent="0.25">
      <c r="C143" s="11"/>
      <c r="E143" s="12"/>
      <c r="G143" s="11"/>
      <c r="I143" s="12"/>
      <c r="K143" s="11"/>
      <c r="M143" s="12"/>
      <c r="N143" s="10"/>
      <c r="O143" s="11"/>
      <c r="R143" s="25"/>
      <c r="S143" s="27"/>
      <c r="T143" s="28"/>
      <c r="V143" s="25"/>
      <c r="W143" s="11"/>
      <c r="X143" s="25"/>
    </row>
    <row r="144" spans="2:24" s="2" customFormat="1" x14ac:dyDescent="0.25">
      <c r="C144" s="11"/>
      <c r="G144" s="11"/>
      <c r="K144" s="11"/>
      <c r="N144" s="10"/>
      <c r="O144" s="11"/>
      <c r="P144" s="11"/>
      <c r="R144" s="25"/>
      <c r="S144" s="11"/>
      <c r="T144" s="25"/>
      <c r="V144" s="25"/>
      <c r="W144" s="11"/>
      <c r="X144" s="25"/>
    </row>
    <row r="145" spans="2:23" s="2" customFormat="1" x14ac:dyDescent="0.25">
      <c r="C145" s="11"/>
      <c r="G145" s="11"/>
      <c r="K145" s="11"/>
      <c r="N145" s="33"/>
      <c r="O145" s="11"/>
      <c r="R145" s="25"/>
      <c r="S145" s="11"/>
      <c r="T145" s="25"/>
      <c r="V145" s="25"/>
      <c r="W145" s="11"/>
    </row>
    <row r="146" spans="2:23" s="2" customFormat="1" x14ac:dyDescent="0.25">
      <c r="C146" s="11"/>
      <c r="G146" s="11"/>
      <c r="K146" s="11"/>
      <c r="N146" s="10"/>
      <c r="O146" s="11"/>
      <c r="P146" s="34"/>
      <c r="R146" s="25"/>
      <c r="S146" s="11"/>
      <c r="T146" s="25"/>
      <c r="V146" s="25"/>
      <c r="W146" s="11"/>
    </row>
    <row r="147" spans="2:23" s="2" customFormat="1" x14ac:dyDescent="0.25">
      <c r="C147" s="11"/>
      <c r="G147" s="11"/>
      <c r="K147" s="11"/>
      <c r="N147" s="10"/>
      <c r="O147" s="11"/>
      <c r="P147" s="34"/>
      <c r="R147" s="25"/>
      <c r="S147" s="11"/>
      <c r="T147" s="29"/>
      <c r="V147" s="25"/>
      <c r="W147" s="11"/>
    </row>
    <row r="148" spans="2:23" s="2" customFormat="1" x14ac:dyDescent="0.25">
      <c r="C148" s="11"/>
      <c r="G148" s="11"/>
      <c r="K148" s="11"/>
      <c r="N148" s="10"/>
      <c r="O148" s="11"/>
      <c r="P148" s="34"/>
      <c r="R148" s="25"/>
      <c r="S148" s="11"/>
      <c r="T148" s="25"/>
      <c r="V148" s="25"/>
      <c r="W148" s="11"/>
    </row>
    <row r="149" spans="2:23" s="2" customFormat="1" x14ac:dyDescent="0.25">
      <c r="C149" s="11"/>
      <c r="G149" s="11"/>
      <c r="K149" s="11"/>
      <c r="N149" s="10"/>
      <c r="O149" s="11"/>
      <c r="P149" s="34"/>
      <c r="R149" s="25"/>
      <c r="S149" s="11"/>
      <c r="T149" s="25"/>
      <c r="V149" s="25"/>
      <c r="W149" s="11"/>
    </row>
    <row r="150" spans="2:23" s="2" customFormat="1" x14ac:dyDescent="0.25">
      <c r="C150" s="11"/>
      <c r="G150" s="11"/>
      <c r="K150" s="11"/>
      <c r="O150" s="11"/>
      <c r="V150" s="25"/>
    </row>
    <row r="151" spans="2:23" s="2" customFormat="1" x14ac:dyDescent="0.25">
      <c r="C151" s="11"/>
      <c r="G151" s="11"/>
      <c r="K151" s="11"/>
      <c r="O151" s="11"/>
      <c r="S151" s="11"/>
      <c r="W151" s="11"/>
    </row>
    <row r="152" spans="2:23" s="2" customFormat="1" x14ac:dyDescent="0.25">
      <c r="B152" s="6"/>
      <c r="C152" s="32"/>
      <c r="F152" s="6"/>
      <c r="G152" s="32"/>
      <c r="J152" s="6"/>
      <c r="K152" s="32"/>
      <c r="N152" s="6"/>
      <c r="O152" s="11"/>
      <c r="V152" s="6"/>
      <c r="W152" s="32"/>
    </row>
    <row r="153" spans="2:23" s="2" customFormat="1" x14ac:dyDescent="0.25">
      <c r="C153" s="11"/>
      <c r="G153" s="11"/>
      <c r="K153" s="11"/>
      <c r="O153" s="32"/>
      <c r="W153" s="11"/>
    </row>
    <row r="154" spans="2:23" s="2" customFormat="1" x14ac:dyDescent="0.25">
      <c r="O154" s="11"/>
    </row>
    <row r="155" spans="2:23" s="2" customFormat="1" x14ac:dyDescent="0.25"/>
    <row r="156" spans="2:23" s="2" customFormat="1" x14ac:dyDescent="0.25">
      <c r="C156" s="11"/>
      <c r="D156" s="6"/>
      <c r="E156" s="12"/>
      <c r="G156" s="11"/>
      <c r="I156" s="12"/>
      <c r="K156" s="11"/>
      <c r="M156" s="12"/>
      <c r="Q156" s="12"/>
    </row>
    <row r="157" spans="2:23" s="2" customFormat="1" x14ac:dyDescent="0.25">
      <c r="C157" s="11"/>
      <c r="G157" s="11"/>
      <c r="K157" s="11"/>
      <c r="O157" s="11"/>
    </row>
    <row r="158" spans="2:23" s="2" customFormat="1" x14ac:dyDescent="0.25">
      <c r="C158" s="11"/>
      <c r="G158" s="11"/>
      <c r="K158" s="11"/>
      <c r="O158" s="11"/>
    </row>
    <row r="159" spans="2:23" s="2" customFormat="1" x14ac:dyDescent="0.25">
      <c r="C159" s="11"/>
      <c r="G159" s="11"/>
      <c r="K159" s="11"/>
      <c r="O159" s="11"/>
    </row>
    <row r="160" spans="2:23" s="2" customFormat="1" x14ac:dyDescent="0.25">
      <c r="C160" s="11"/>
      <c r="G160" s="11"/>
      <c r="K160" s="11"/>
      <c r="O160" s="11"/>
    </row>
    <row r="161" spans="2:15" s="2" customFormat="1" x14ac:dyDescent="0.25">
      <c r="C161" s="11"/>
      <c r="G161" s="11"/>
      <c r="K161" s="11"/>
      <c r="O161" s="11"/>
    </row>
    <row r="162" spans="2:15" s="2" customFormat="1" x14ac:dyDescent="0.25">
      <c r="C162" s="11"/>
      <c r="G162" s="11"/>
      <c r="K162" s="11"/>
      <c r="O162" s="11"/>
    </row>
    <row r="163" spans="2:15" s="2" customFormat="1" x14ac:dyDescent="0.25">
      <c r="C163" s="11"/>
      <c r="G163" s="11"/>
      <c r="K163" s="11"/>
      <c r="O163" s="11"/>
    </row>
    <row r="164" spans="2:15" s="2" customFormat="1" x14ac:dyDescent="0.25">
      <c r="C164" s="11"/>
      <c r="G164" s="11"/>
      <c r="K164" s="11"/>
      <c r="O164" s="11"/>
    </row>
    <row r="165" spans="2:15" s="2" customFormat="1" x14ac:dyDescent="0.25">
      <c r="C165" s="11"/>
      <c r="G165" s="11"/>
      <c r="K165" s="11"/>
      <c r="O165" s="11"/>
    </row>
    <row r="166" spans="2:15" s="2" customFormat="1" x14ac:dyDescent="0.25">
      <c r="C166" s="11"/>
      <c r="G166" s="11"/>
      <c r="K166" s="11"/>
      <c r="O166" s="11"/>
    </row>
    <row r="167" spans="2:15" s="2" customFormat="1" x14ac:dyDescent="0.25">
      <c r="B167" s="6"/>
      <c r="C167" s="32"/>
      <c r="F167" s="6"/>
      <c r="G167" s="32"/>
      <c r="J167" s="6"/>
      <c r="K167" s="32"/>
      <c r="N167" s="6"/>
      <c r="O167" s="11"/>
    </row>
    <row r="168" spans="2:15" s="2" customFormat="1" x14ac:dyDescent="0.25">
      <c r="C168" s="11"/>
      <c r="G168" s="11"/>
      <c r="K168" s="11"/>
      <c r="O168" s="32"/>
    </row>
    <row r="169" spans="2:15" s="2" customFormat="1" x14ac:dyDescent="0.25">
      <c r="O169" s="11"/>
    </row>
    <row r="170" spans="2:15" s="2" customFormat="1" x14ac:dyDescent="0.25"/>
    <row r="171" spans="2:15" s="2" customFormat="1" x14ac:dyDescent="0.25">
      <c r="K171" s="11"/>
    </row>
    <row r="172" spans="2:15" s="2" customFormat="1" x14ac:dyDescent="0.25">
      <c r="C172" s="11"/>
      <c r="D172" s="6"/>
      <c r="E172" s="12"/>
      <c r="G172" s="11"/>
      <c r="H172" s="6"/>
      <c r="I172" s="12"/>
      <c r="K172" s="11"/>
    </row>
    <row r="173" spans="2:15" s="2" customFormat="1" x14ac:dyDescent="0.25">
      <c r="C173" s="11"/>
      <c r="D173" s="6"/>
      <c r="G173" s="11"/>
      <c r="K173" s="11"/>
      <c r="M173" s="12"/>
    </row>
    <row r="174" spans="2:15" s="2" customFormat="1" x14ac:dyDescent="0.25">
      <c r="C174" s="11"/>
      <c r="G174" s="11"/>
      <c r="K174" s="11"/>
      <c r="L174" s="6"/>
    </row>
    <row r="175" spans="2:15" s="2" customFormat="1" x14ac:dyDescent="0.25">
      <c r="C175" s="11"/>
      <c r="G175" s="11"/>
      <c r="K175" s="11"/>
    </row>
    <row r="176" spans="2:15" s="2" customFormat="1" x14ac:dyDescent="0.25">
      <c r="C176" s="11"/>
      <c r="G176" s="11"/>
      <c r="K176" s="11"/>
    </row>
    <row r="177" spans="2:17" s="2" customFormat="1" x14ac:dyDescent="0.25">
      <c r="C177" s="11"/>
      <c r="G177" s="11"/>
      <c r="K177" s="11"/>
    </row>
    <row r="178" spans="2:17" s="2" customFormat="1" x14ac:dyDescent="0.25">
      <c r="C178" s="11"/>
      <c r="G178" s="11"/>
      <c r="K178" s="11"/>
    </row>
    <row r="179" spans="2:17" s="2" customFormat="1" x14ac:dyDescent="0.25">
      <c r="C179" s="11"/>
      <c r="G179" s="11"/>
      <c r="K179" s="11"/>
    </row>
    <row r="180" spans="2:17" s="2" customFormat="1" x14ac:dyDescent="0.25">
      <c r="C180" s="11"/>
      <c r="G180" s="11"/>
      <c r="K180" s="11"/>
    </row>
    <row r="181" spans="2:17" s="2" customFormat="1" x14ac:dyDescent="0.25">
      <c r="C181" s="11"/>
      <c r="G181" s="11"/>
      <c r="K181" s="11"/>
    </row>
    <row r="182" spans="2:17" s="2" customFormat="1" x14ac:dyDescent="0.25">
      <c r="C182" s="11"/>
      <c r="G182" s="11"/>
      <c r="K182" s="11"/>
    </row>
    <row r="183" spans="2:17" s="2" customFormat="1" x14ac:dyDescent="0.25">
      <c r="C183" s="11"/>
      <c r="G183" s="11"/>
      <c r="K183" s="11"/>
    </row>
    <row r="184" spans="2:17" s="2" customFormat="1" x14ac:dyDescent="0.25">
      <c r="C184" s="11"/>
      <c r="G184" s="11"/>
      <c r="K184" s="11"/>
    </row>
    <row r="185" spans="2:17" s="2" customFormat="1" x14ac:dyDescent="0.25">
      <c r="C185" s="11"/>
      <c r="G185" s="11"/>
      <c r="K185" s="11"/>
    </row>
    <row r="186" spans="2:17" s="2" customFormat="1" x14ac:dyDescent="0.25">
      <c r="B186" s="6"/>
      <c r="C186" s="32"/>
      <c r="F186" s="6"/>
      <c r="G186" s="32"/>
      <c r="J186" s="6"/>
      <c r="K186" s="32"/>
    </row>
    <row r="187" spans="2:17" s="2" customFormat="1" x14ac:dyDescent="0.25">
      <c r="C187" s="11"/>
      <c r="G187" s="11"/>
      <c r="K187" s="11"/>
    </row>
    <row r="188" spans="2:17" s="2" customFormat="1" x14ac:dyDescent="0.25"/>
    <row r="189" spans="2:17" s="2" customFormat="1" x14ac:dyDescent="0.25"/>
    <row r="190" spans="2:17" s="2" customFormat="1" x14ac:dyDescent="0.25"/>
    <row r="191" spans="2:17" s="2" customFormat="1" x14ac:dyDescent="0.25">
      <c r="C191" s="11"/>
      <c r="D191" s="6"/>
      <c r="E191" s="12"/>
      <c r="G191" s="11"/>
      <c r="H191" s="6"/>
      <c r="I191" s="12"/>
      <c r="K191" s="11"/>
      <c r="M191" s="12"/>
      <c r="P191" s="6"/>
      <c r="Q191" s="12"/>
    </row>
    <row r="192" spans="2:17" s="2" customFormat="1" x14ac:dyDescent="0.25">
      <c r="C192" s="11"/>
      <c r="G192" s="11"/>
      <c r="K192" s="11"/>
      <c r="O192" s="11"/>
      <c r="P192" s="6"/>
    </row>
    <row r="193" spans="2:15" s="2" customFormat="1" x14ac:dyDescent="0.25">
      <c r="C193" s="11"/>
      <c r="G193" s="11"/>
      <c r="K193" s="11"/>
      <c r="O193" s="11"/>
    </row>
    <row r="194" spans="2:15" s="2" customFormat="1" x14ac:dyDescent="0.25">
      <c r="C194" s="11"/>
      <c r="G194" s="11"/>
      <c r="K194" s="11"/>
      <c r="O194" s="11"/>
    </row>
    <row r="195" spans="2:15" s="2" customFormat="1" x14ac:dyDescent="0.25">
      <c r="C195" s="11"/>
      <c r="G195" s="11"/>
      <c r="K195" s="11"/>
      <c r="O195" s="11"/>
    </row>
    <row r="196" spans="2:15" s="2" customFormat="1" x14ac:dyDescent="0.25">
      <c r="C196" s="11"/>
      <c r="G196" s="11"/>
      <c r="K196" s="11"/>
      <c r="O196" s="11"/>
    </row>
    <row r="197" spans="2:15" s="2" customFormat="1" x14ac:dyDescent="0.25">
      <c r="C197" s="11"/>
      <c r="G197" s="11"/>
      <c r="K197" s="11"/>
      <c r="O197" s="11"/>
    </row>
    <row r="198" spans="2:15" s="2" customFormat="1" x14ac:dyDescent="0.25">
      <c r="C198" s="11"/>
      <c r="G198" s="11"/>
      <c r="K198" s="11"/>
      <c r="O198" s="11"/>
    </row>
    <row r="199" spans="2:15" s="2" customFormat="1" x14ac:dyDescent="0.25">
      <c r="C199" s="11"/>
      <c r="G199" s="11"/>
      <c r="K199" s="11"/>
      <c r="O199" s="11"/>
    </row>
    <row r="200" spans="2:15" s="2" customFormat="1" x14ac:dyDescent="0.25">
      <c r="C200" s="11"/>
      <c r="G200" s="11"/>
      <c r="K200" s="11"/>
      <c r="O200" s="11"/>
    </row>
    <row r="201" spans="2:15" s="2" customFormat="1" x14ac:dyDescent="0.25">
      <c r="B201" s="6"/>
      <c r="C201" s="11"/>
      <c r="F201" s="6"/>
      <c r="G201" s="32"/>
      <c r="J201" s="6"/>
      <c r="K201" s="32"/>
      <c r="N201" s="6"/>
      <c r="O201" s="11"/>
    </row>
    <row r="202" spans="2:15" s="2" customFormat="1" x14ac:dyDescent="0.25">
      <c r="C202" s="11"/>
      <c r="G202" s="11"/>
      <c r="K202" s="11"/>
      <c r="O202" s="11"/>
    </row>
    <row r="203" spans="2:15" s="2" customFormat="1" x14ac:dyDescent="0.25">
      <c r="O203" s="11"/>
    </row>
    <row r="204" spans="2:15" s="2" customFormat="1" x14ac:dyDescent="0.25"/>
    <row r="205" spans="2:15" s="2" customFormat="1" x14ac:dyDescent="0.25">
      <c r="C205" s="11"/>
      <c r="D205" s="6"/>
      <c r="E205" s="12"/>
      <c r="G205" s="11"/>
      <c r="I205" s="12"/>
      <c r="K205" s="11"/>
      <c r="M205" s="12"/>
    </row>
    <row r="206" spans="2:15" s="2" customFormat="1" x14ac:dyDescent="0.25">
      <c r="C206" s="11"/>
      <c r="D206" s="6"/>
      <c r="G206" s="11"/>
      <c r="K206" s="11"/>
    </row>
    <row r="207" spans="2:15" s="2" customFormat="1" x14ac:dyDescent="0.25">
      <c r="C207" s="11"/>
      <c r="G207" s="11"/>
      <c r="K207" s="11"/>
      <c r="M207" s="11"/>
    </row>
    <row r="208" spans="2:15" s="2" customFormat="1" x14ac:dyDescent="0.25">
      <c r="C208" s="11"/>
      <c r="G208" s="11"/>
      <c r="K208" s="11"/>
    </row>
    <row r="209" spans="2:17" s="2" customFormat="1" x14ac:dyDescent="0.25">
      <c r="C209" s="11"/>
      <c r="G209" s="11"/>
      <c r="K209" s="11"/>
    </row>
    <row r="210" spans="2:17" s="2" customFormat="1" x14ac:dyDescent="0.25">
      <c r="C210" s="11"/>
      <c r="G210" s="11"/>
      <c r="K210" s="11"/>
    </row>
    <row r="211" spans="2:17" s="2" customFormat="1" x14ac:dyDescent="0.25">
      <c r="C211" s="11"/>
      <c r="G211" s="11"/>
      <c r="K211" s="11"/>
    </row>
    <row r="212" spans="2:17" s="2" customFormat="1" x14ac:dyDescent="0.25">
      <c r="C212" s="11"/>
      <c r="G212" s="11"/>
      <c r="K212" s="11"/>
    </row>
    <row r="213" spans="2:17" s="2" customFormat="1" x14ac:dyDescent="0.25">
      <c r="C213" s="11"/>
      <c r="G213" s="11"/>
      <c r="K213" s="11"/>
    </row>
    <row r="214" spans="2:17" s="2" customFormat="1" x14ac:dyDescent="0.25">
      <c r="C214" s="11"/>
      <c r="G214" s="11"/>
      <c r="K214" s="11"/>
    </row>
    <row r="215" spans="2:17" s="2" customFormat="1" x14ac:dyDescent="0.25">
      <c r="C215" s="11"/>
      <c r="G215" s="11"/>
      <c r="K215" s="11"/>
    </row>
    <row r="216" spans="2:17" s="2" customFormat="1" x14ac:dyDescent="0.25">
      <c r="C216" s="11"/>
      <c r="G216" s="11"/>
      <c r="K216" s="11"/>
    </row>
    <row r="217" spans="2:17" s="2" customFormat="1" x14ac:dyDescent="0.25">
      <c r="C217" s="11"/>
      <c r="G217" s="11"/>
      <c r="K217" s="11"/>
    </row>
    <row r="218" spans="2:17" s="2" customFormat="1" x14ac:dyDescent="0.25">
      <c r="B218" s="6"/>
      <c r="C218" s="32"/>
      <c r="F218" s="6"/>
      <c r="G218" s="11"/>
      <c r="J218" s="6"/>
      <c r="K218" s="32"/>
    </row>
    <row r="219" spans="2:17" s="2" customFormat="1" x14ac:dyDescent="0.25">
      <c r="C219" s="11"/>
      <c r="G219" s="11"/>
      <c r="K219" s="11"/>
    </row>
    <row r="220" spans="2:17" s="2" customFormat="1" x14ac:dyDescent="0.25"/>
    <row r="221" spans="2:17" s="2" customFormat="1" x14ac:dyDescent="0.25"/>
    <row r="222" spans="2:17" s="2" customFormat="1" x14ac:dyDescent="0.25">
      <c r="C222" s="11"/>
      <c r="D222" s="6"/>
      <c r="E222" s="11"/>
      <c r="G222" s="11"/>
      <c r="I222" s="12"/>
      <c r="K222" s="11"/>
      <c r="L222" s="6"/>
      <c r="M222" s="12"/>
      <c r="P222" s="6"/>
      <c r="Q222" s="12"/>
    </row>
    <row r="223" spans="2:17" s="2" customFormat="1" x14ac:dyDescent="0.25">
      <c r="C223" s="11"/>
      <c r="D223" s="12"/>
      <c r="E223" s="11"/>
      <c r="G223" s="11"/>
      <c r="H223" s="35"/>
      <c r="K223" s="11"/>
      <c r="O223" s="11"/>
    </row>
    <row r="224" spans="2:17" s="2" customFormat="1" x14ac:dyDescent="0.25">
      <c r="C224" s="11"/>
      <c r="G224" s="11"/>
      <c r="K224" s="11"/>
      <c r="O224" s="11"/>
    </row>
    <row r="225" spans="2:21" s="2" customFormat="1" x14ac:dyDescent="0.25">
      <c r="C225" s="11"/>
      <c r="G225" s="11"/>
      <c r="K225" s="11"/>
      <c r="L225" s="18"/>
      <c r="O225" s="11"/>
    </row>
    <row r="226" spans="2:21" s="2" customFormat="1" x14ac:dyDescent="0.25">
      <c r="C226" s="11"/>
      <c r="G226" s="11"/>
      <c r="K226" s="11"/>
      <c r="L226" s="18"/>
      <c r="O226" s="11"/>
    </row>
    <row r="227" spans="2:21" s="2" customFormat="1" x14ac:dyDescent="0.25">
      <c r="C227" s="11"/>
      <c r="G227" s="11"/>
      <c r="K227" s="11"/>
      <c r="L227" s="18"/>
      <c r="O227" s="11"/>
    </row>
    <row r="228" spans="2:21" s="2" customFormat="1" x14ac:dyDescent="0.25">
      <c r="C228" s="11"/>
      <c r="G228" s="11"/>
      <c r="K228" s="11"/>
      <c r="L228" s="18"/>
      <c r="O228" s="11"/>
    </row>
    <row r="229" spans="2:21" s="2" customFormat="1" x14ac:dyDescent="0.25">
      <c r="C229" s="11"/>
      <c r="G229" s="11"/>
      <c r="K229" s="11"/>
      <c r="L229" s="18"/>
      <c r="O229" s="11"/>
    </row>
    <row r="230" spans="2:21" s="2" customFormat="1" x14ac:dyDescent="0.25">
      <c r="C230" s="11"/>
      <c r="G230" s="11"/>
      <c r="K230" s="11"/>
      <c r="L230" s="18"/>
      <c r="O230" s="11"/>
    </row>
    <row r="231" spans="2:21" s="2" customFormat="1" x14ac:dyDescent="0.25">
      <c r="B231" s="6"/>
      <c r="C231" s="11"/>
      <c r="F231" s="6"/>
      <c r="G231" s="11"/>
      <c r="J231" s="6"/>
      <c r="K231" s="11"/>
      <c r="L231" s="18"/>
      <c r="N231" s="6"/>
      <c r="O231" s="11"/>
    </row>
    <row r="232" spans="2:21" s="2" customFormat="1" x14ac:dyDescent="0.25">
      <c r="C232" s="11"/>
      <c r="G232" s="11"/>
      <c r="K232" s="11"/>
      <c r="L232" s="18"/>
      <c r="O232" s="11"/>
    </row>
    <row r="233" spans="2:21" s="2" customFormat="1" x14ac:dyDescent="0.25">
      <c r="L233" s="18"/>
      <c r="O233" s="11"/>
    </row>
    <row r="234" spans="2:21" s="2" customFormat="1" x14ac:dyDescent="0.25">
      <c r="L234" s="18"/>
    </row>
    <row r="235" spans="2:21" s="2" customFormat="1" x14ac:dyDescent="0.25">
      <c r="L235" s="18"/>
    </row>
    <row r="236" spans="2:21" s="2" customFormat="1" x14ac:dyDescent="0.25">
      <c r="C236" s="11"/>
      <c r="D236" s="6"/>
      <c r="E236" s="12"/>
      <c r="G236" s="36"/>
      <c r="H236" s="6"/>
      <c r="I236" s="12"/>
      <c r="K236" s="11"/>
      <c r="M236" s="12"/>
      <c r="Q236" s="12"/>
      <c r="S236" s="11"/>
      <c r="U236" s="12"/>
    </row>
    <row r="237" spans="2:21" s="2" customFormat="1" x14ac:dyDescent="0.25">
      <c r="C237" s="11"/>
      <c r="G237" s="36"/>
      <c r="K237" s="11"/>
      <c r="O237" s="11"/>
      <c r="S237" s="11"/>
      <c r="T237" s="12"/>
    </row>
    <row r="238" spans="2:21" s="2" customFormat="1" x14ac:dyDescent="0.25">
      <c r="C238" s="11"/>
      <c r="G238" s="36"/>
      <c r="K238" s="11"/>
      <c r="O238" s="11"/>
      <c r="S238" s="11"/>
    </row>
    <row r="239" spans="2:21" s="2" customFormat="1" x14ac:dyDescent="0.25">
      <c r="C239" s="11"/>
      <c r="G239" s="36"/>
      <c r="K239" s="11"/>
      <c r="O239" s="11"/>
      <c r="S239" s="11"/>
    </row>
    <row r="240" spans="2:21" s="2" customFormat="1" x14ac:dyDescent="0.25">
      <c r="C240" s="11"/>
      <c r="G240" s="36"/>
      <c r="K240" s="11"/>
      <c r="O240" s="11"/>
      <c r="S240" s="11"/>
    </row>
    <row r="241" spans="2:19" s="2" customFormat="1" x14ac:dyDescent="0.25">
      <c r="C241" s="11"/>
      <c r="G241" s="36"/>
      <c r="K241" s="11"/>
      <c r="O241" s="11"/>
      <c r="S241" s="11"/>
    </row>
    <row r="242" spans="2:19" s="2" customFormat="1" x14ac:dyDescent="0.25">
      <c r="C242" s="11"/>
      <c r="G242" s="36"/>
      <c r="K242" s="11"/>
      <c r="O242" s="11"/>
      <c r="S242" s="11"/>
    </row>
    <row r="243" spans="2:19" s="2" customFormat="1" x14ac:dyDescent="0.25">
      <c r="C243" s="11"/>
      <c r="G243" s="36"/>
      <c r="K243" s="11"/>
      <c r="O243" s="11"/>
      <c r="S243" s="11"/>
    </row>
    <row r="244" spans="2:19" s="2" customFormat="1" x14ac:dyDescent="0.25">
      <c r="C244" s="11"/>
      <c r="G244" s="36"/>
      <c r="K244" s="11"/>
      <c r="O244" s="11"/>
      <c r="S244" s="11"/>
    </row>
    <row r="245" spans="2:19" s="2" customFormat="1" x14ac:dyDescent="0.25">
      <c r="B245" s="6"/>
      <c r="C245" s="11"/>
      <c r="F245" s="6"/>
      <c r="G245" s="36"/>
      <c r="J245" s="6"/>
      <c r="K245" s="11"/>
      <c r="N245" s="6"/>
      <c r="O245" s="11"/>
      <c r="R245" s="6"/>
      <c r="S245" s="11"/>
    </row>
    <row r="246" spans="2:19" s="2" customFormat="1" x14ac:dyDescent="0.25">
      <c r="C246" s="11"/>
      <c r="G246" s="36"/>
      <c r="K246" s="11"/>
      <c r="O246" s="11"/>
      <c r="S246" s="11"/>
    </row>
    <row r="247" spans="2:19" s="2" customFormat="1" x14ac:dyDescent="0.25">
      <c r="O247" s="11"/>
    </row>
    <row r="248" spans="2:19" s="2" customFormat="1" x14ac:dyDescent="0.25"/>
    <row r="249" spans="2:19" s="2" customFormat="1" x14ac:dyDescent="0.25">
      <c r="O249" s="11"/>
    </row>
    <row r="250" spans="2:19" s="2" customFormat="1" x14ac:dyDescent="0.25">
      <c r="O250" s="11"/>
    </row>
    <row r="251" spans="2:19" s="2" customFormat="1" x14ac:dyDescent="0.25">
      <c r="O251" s="11"/>
      <c r="P251" s="6"/>
    </row>
    <row r="252" spans="2:19" s="2" customFormat="1" x14ac:dyDescent="0.25">
      <c r="C252" s="11"/>
      <c r="G252" s="11"/>
      <c r="K252" s="11"/>
      <c r="L252" s="6"/>
      <c r="M252" s="12"/>
      <c r="O252" s="11"/>
      <c r="P252" s="6"/>
      <c r="Q252" s="12"/>
    </row>
    <row r="253" spans="2:19" s="2" customFormat="1" x14ac:dyDescent="0.25">
      <c r="C253" s="11"/>
      <c r="G253" s="11"/>
      <c r="K253" s="11"/>
      <c r="O253" s="11"/>
    </row>
    <row r="254" spans="2:19" s="2" customFormat="1" x14ac:dyDescent="0.25">
      <c r="C254" s="11"/>
      <c r="G254" s="11"/>
      <c r="K254" s="11"/>
      <c r="O254" s="11"/>
    </row>
    <row r="255" spans="2:19" s="2" customFormat="1" x14ac:dyDescent="0.25">
      <c r="C255" s="11"/>
      <c r="G255" s="11"/>
      <c r="K255" s="11"/>
      <c r="O255" s="11"/>
    </row>
    <row r="256" spans="2:19" s="2" customFormat="1" x14ac:dyDescent="0.25">
      <c r="C256" s="11"/>
      <c r="G256" s="11"/>
      <c r="K256" s="11"/>
      <c r="O256" s="11"/>
    </row>
    <row r="257" spans="2:17" s="2" customFormat="1" x14ac:dyDescent="0.25">
      <c r="C257" s="11"/>
      <c r="G257" s="11"/>
      <c r="K257" s="11"/>
      <c r="O257" s="11"/>
    </row>
    <row r="258" spans="2:17" s="2" customFormat="1" x14ac:dyDescent="0.25">
      <c r="C258" s="11"/>
      <c r="G258" s="11"/>
      <c r="K258" s="11"/>
      <c r="O258" s="11"/>
    </row>
    <row r="259" spans="2:17" s="2" customFormat="1" x14ac:dyDescent="0.25">
      <c r="C259" s="11"/>
      <c r="G259" s="11"/>
      <c r="K259" s="11"/>
      <c r="O259" s="11"/>
    </row>
    <row r="260" spans="2:17" s="2" customFormat="1" x14ac:dyDescent="0.25">
      <c r="C260" s="11"/>
      <c r="G260" s="11"/>
      <c r="K260" s="11"/>
      <c r="O260" s="11"/>
    </row>
    <row r="261" spans="2:17" s="2" customFormat="1" x14ac:dyDescent="0.25">
      <c r="B261" s="6"/>
      <c r="C261" s="11"/>
      <c r="F261" s="6"/>
      <c r="G261" s="11"/>
      <c r="J261" s="6"/>
      <c r="K261" s="11"/>
      <c r="N261" s="6"/>
      <c r="O261" s="11"/>
    </row>
    <row r="262" spans="2:17" s="2" customFormat="1" x14ac:dyDescent="0.25">
      <c r="C262" s="11"/>
      <c r="G262" s="11"/>
      <c r="K262" s="11"/>
      <c r="O262" s="11"/>
    </row>
    <row r="263" spans="2:17" s="2" customFormat="1" x14ac:dyDescent="0.25">
      <c r="O263" s="11"/>
    </row>
    <row r="264" spans="2:17" s="2" customFormat="1" x14ac:dyDescent="0.25"/>
    <row r="265" spans="2:17" s="2" customFormat="1" x14ac:dyDescent="0.25"/>
    <row r="266" spans="2:17" s="2" customFormat="1" x14ac:dyDescent="0.25"/>
    <row r="267" spans="2:17" s="2" customFormat="1" x14ac:dyDescent="0.25"/>
    <row r="268" spans="2:17" s="2" customFormat="1" x14ac:dyDescent="0.25">
      <c r="C268" s="11"/>
      <c r="D268" s="6"/>
      <c r="E268" s="12"/>
      <c r="G268" s="11"/>
      <c r="H268" s="6"/>
      <c r="I268" s="12"/>
      <c r="K268" s="11"/>
      <c r="L268" s="6"/>
      <c r="M268" s="12"/>
      <c r="P268" s="6"/>
      <c r="Q268" s="12"/>
    </row>
    <row r="269" spans="2:17" s="2" customFormat="1" x14ac:dyDescent="0.25">
      <c r="C269" s="11"/>
      <c r="G269" s="11"/>
      <c r="K269" s="11"/>
      <c r="O269" s="11"/>
    </row>
    <row r="270" spans="2:17" s="2" customFormat="1" x14ac:dyDescent="0.25">
      <c r="C270" s="11"/>
      <c r="G270" s="11"/>
      <c r="K270" s="11"/>
      <c r="O270" s="11"/>
    </row>
    <row r="271" spans="2:17" s="2" customFormat="1" x14ac:dyDescent="0.25">
      <c r="C271" s="11"/>
      <c r="G271" s="11"/>
      <c r="K271" s="11"/>
      <c r="O271" s="11"/>
    </row>
    <row r="272" spans="2:17" s="2" customFormat="1" x14ac:dyDescent="0.25">
      <c r="C272" s="11"/>
      <c r="G272" s="11"/>
      <c r="K272" s="11"/>
      <c r="O272" s="11"/>
    </row>
    <row r="273" spans="2:21" s="2" customFormat="1" x14ac:dyDescent="0.25">
      <c r="C273" s="11"/>
      <c r="G273" s="11"/>
      <c r="K273" s="11"/>
      <c r="O273" s="11"/>
    </row>
    <row r="274" spans="2:21" s="2" customFormat="1" x14ac:dyDescent="0.25">
      <c r="C274" s="11"/>
      <c r="G274" s="11"/>
      <c r="K274" s="11"/>
      <c r="O274" s="11"/>
    </row>
    <row r="275" spans="2:21" s="2" customFormat="1" x14ac:dyDescent="0.25">
      <c r="C275" s="11"/>
      <c r="G275" s="11"/>
      <c r="K275" s="11"/>
      <c r="O275" s="11"/>
    </row>
    <row r="276" spans="2:21" s="2" customFormat="1" x14ac:dyDescent="0.25">
      <c r="C276" s="11"/>
      <c r="G276" s="11"/>
      <c r="K276" s="11"/>
      <c r="O276" s="11"/>
    </row>
    <row r="277" spans="2:21" s="2" customFormat="1" x14ac:dyDescent="0.25">
      <c r="B277" s="6"/>
      <c r="C277" s="11"/>
      <c r="F277" s="6"/>
      <c r="G277" s="11"/>
      <c r="J277" s="6"/>
      <c r="K277" s="11"/>
      <c r="N277" s="6"/>
      <c r="O277" s="11"/>
    </row>
    <row r="278" spans="2:21" s="2" customFormat="1" x14ac:dyDescent="0.25">
      <c r="C278" s="11"/>
      <c r="G278" s="11"/>
      <c r="K278" s="11"/>
      <c r="O278" s="11"/>
    </row>
    <row r="279" spans="2:21" s="2" customFormat="1" x14ac:dyDescent="0.25">
      <c r="O279" s="11"/>
    </row>
    <row r="280" spans="2:21" s="2" customFormat="1" x14ac:dyDescent="0.25"/>
    <row r="281" spans="2:21" s="2" customFormat="1" x14ac:dyDescent="0.25"/>
    <row r="282" spans="2:21" s="2" customFormat="1" x14ac:dyDescent="0.25">
      <c r="M282" s="12"/>
    </row>
    <row r="283" spans="2:21" s="2" customFormat="1" x14ac:dyDescent="0.25">
      <c r="C283" s="11"/>
      <c r="D283" s="6"/>
      <c r="E283" s="12"/>
      <c r="H283" s="6"/>
      <c r="I283" s="12"/>
      <c r="K283" s="11"/>
      <c r="O283" s="11"/>
      <c r="P283" s="6"/>
      <c r="Q283" s="12"/>
      <c r="S283" s="11"/>
      <c r="T283" s="6"/>
      <c r="U283" s="12"/>
    </row>
    <row r="284" spans="2:21" s="2" customFormat="1" x14ac:dyDescent="0.25">
      <c r="C284" s="11"/>
      <c r="D284" s="37"/>
      <c r="E284" s="11"/>
      <c r="K284" s="11"/>
      <c r="O284" s="11"/>
      <c r="S284" s="11"/>
      <c r="U284" s="11"/>
    </row>
    <row r="285" spans="2:21" s="2" customFormat="1" x14ac:dyDescent="0.25">
      <c r="C285" s="11"/>
      <c r="K285" s="11"/>
      <c r="O285" s="11"/>
      <c r="S285" s="11"/>
    </row>
    <row r="286" spans="2:21" s="2" customFormat="1" x14ac:dyDescent="0.25">
      <c r="C286" s="11"/>
      <c r="G286" s="11"/>
      <c r="K286" s="11"/>
      <c r="O286" s="11"/>
      <c r="S286" s="11"/>
    </row>
    <row r="287" spans="2:21" s="2" customFormat="1" x14ac:dyDescent="0.25">
      <c r="C287" s="11"/>
      <c r="G287" s="11"/>
      <c r="K287" s="11"/>
      <c r="O287" s="11"/>
      <c r="S287" s="11"/>
    </row>
    <row r="288" spans="2:21" s="2" customFormat="1" x14ac:dyDescent="0.25">
      <c r="C288" s="11"/>
      <c r="G288" s="11"/>
      <c r="K288" s="11"/>
      <c r="O288" s="11"/>
      <c r="S288" s="11"/>
    </row>
    <row r="289" spans="2:21" s="2" customFormat="1" x14ac:dyDescent="0.25">
      <c r="G289" s="11"/>
      <c r="K289" s="11"/>
      <c r="O289" s="11"/>
      <c r="S289" s="11"/>
    </row>
    <row r="290" spans="2:21" s="2" customFormat="1" x14ac:dyDescent="0.25">
      <c r="G290" s="11"/>
      <c r="K290" s="11"/>
      <c r="O290" s="11"/>
      <c r="S290" s="11"/>
    </row>
    <row r="291" spans="2:21" s="2" customFormat="1" x14ac:dyDescent="0.25">
      <c r="G291" s="11"/>
      <c r="K291" s="11"/>
      <c r="O291" s="11"/>
      <c r="S291" s="11"/>
    </row>
    <row r="292" spans="2:21" s="2" customFormat="1" x14ac:dyDescent="0.25">
      <c r="C292" s="11"/>
      <c r="G292" s="11"/>
      <c r="K292" s="11"/>
      <c r="O292" s="11"/>
      <c r="S292" s="11"/>
    </row>
    <row r="293" spans="2:21" s="2" customFormat="1" x14ac:dyDescent="0.25">
      <c r="B293" s="6"/>
      <c r="C293" s="11"/>
      <c r="F293" s="6"/>
      <c r="G293" s="11"/>
      <c r="J293" s="6"/>
      <c r="K293" s="11"/>
      <c r="N293" s="6"/>
      <c r="O293" s="11"/>
      <c r="R293" s="6"/>
      <c r="S293" s="11"/>
    </row>
    <row r="294" spans="2:21" s="2" customFormat="1" x14ac:dyDescent="0.25">
      <c r="C294" s="11"/>
      <c r="G294" s="11"/>
      <c r="K294" s="11"/>
      <c r="O294" s="11"/>
      <c r="S294" s="11"/>
    </row>
    <row r="295" spans="2:21" s="2" customFormat="1" x14ac:dyDescent="0.25">
      <c r="O295" s="11"/>
    </row>
    <row r="296" spans="2:21" s="2" customFormat="1" x14ac:dyDescent="0.25"/>
    <row r="297" spans="2:21" s="2" customFormat="1" x14ac:dyDescent="0.25"/>
    <row r="298" spans="2:21" s="2" customFormat="1" x14ac:dyDescent="0.25"/>
    <row r="299" spans="2:21" s="2" customFormat="1" x14ac:dyDescent="0.25">
      <c r="C299" s="11"/>
      <c r="G299" s="11"/>
      <c r="H299" s="6"/>
      <c r="I299" s="12"/>
      <c r="K299" s="11"/>
      <c r="L299" s="6"/>
      <c r="M299" s="12"/>
      <c r="O299" s="11"/>
      <c r="P299" s="6"/>
      <c r="Q299" s="12"/>
      <c r="S299" s="11"/>
      <c r="U299" s="12"/>
    </row>
    <row r="300" spans="2:21" s="2" customFormat="1" x14ac:dyDescent="0.25">
      <c r="C300" s="11"/>
      <c r="E300" s="12"/>
      <c r="G300" s="11"/>
      <c r="K300" s="11"/>
      <c r="O300" s="11"/>
      <c r="S300" s="11"/>
    </row>
    <row r="301" spans="2:21" s="2" customFormat="1" x14ac:dyDescent="0.25">
      <c r="C301" s="11"/>
      <c r="G301" s="11"/>
      <c r="K301" s="11"/>
      <c r="O301" s="11"/>
      <c r="S301" s="11"/>
    </row>
    <row r="302" spans="2:21" s="2" customFormat="1" x14ac:dyDescent="0.25">
      <c r="C302" s="11"/>
      <c r="G302" s="11"/>
      <c r="K302" s="11"/>
      <c r="O302" s="11"/>
      <c r="S302" s="11"/>
    </row>
    <row r="303" spans="2:21" s="2" customFormat="1" x14ac:dyDescent="0.25">
      <c r="C303" s="11"/>
      <c r="G303" s="11"/>
      <c r="K303" s="11"/>
      <c r="O303" s="11"/>
      <c r="S303" s="11"/>
    </row>
    <row r="304" spans="2:21" s="2" customFormat="1" x14ac:dyDescent="0.25">
      <c r="C304" s="11"/>
      <c r="G304" s="11"/>
      <c r="K304" s="11"/>
      <c r="O304" s="11"/>
      <c r="S304" s="11"/>
    </row>
    <row r="305" spans="2:19" s="2" customFormat="1" x14ac:dyDescent="0.25">
      <c r="C305" s="11"/>
      <c r="G305" s="11"/>
      <c r="K305" s="11"/>
      <c r="O305" s="11"/>
      <c r="S305" s="11"/>
    </row>
    <row r="306" spans="2:19" s="2" customFormat="1" x14ac:dyDescent="0.25">
      <c r="B306" s="6"/>
      <c r="C306" s="11"/>
      <c r="F306" s="6"/>
      <c r="G306" s="11"/>
      <c r="J306" s="6"/>
      <c r="K306" s="11"/>
      <c r="N306" s="6"/>
      <c r="O306" s="11"/>
      <c r="S306" s="11"/>
    </row>
    <row r="307" spans="2:19" s="2" customFormat="1" x14ac:dyDescent="0.25">
      <c r="C307" s="11"/>
      <c r="G307" s="11"/>
      <c r="K307" s="11"/>
      <c r="O307" s="11"/>
      <c r="S307" s="11"/>
    </row>
    <row r="308" spans="2:19" s="2" customFormat="1" x14ac:dyDescent="0.25">
      <c r="O308" s="11"/>
    </row>
    <row r="309" spans="2:19" s="2" customFormat="1" x14ac:dyDescent="0.25">
      <c r="O309" s="11"/>
    </row>
    <row r="310" spans="2:19" s="2" customFormat="1" x14ac:dyDescent="0.25">
      <c r="G310" s="11"/>
      <c r="H310" s="6"/>
      <c r="I310" s="12"/>
      <c r="K310" s="11"/>
      <c r="M310" s="12"/>
      <c r="Q310" s="12"/>
    </row>
    <row r="311" spans="2:19" s="2" customFormat="1" x14ac:dyDescent="0.25">
      <c r="C311" s="11"/>
      <c r="D311" s="6"/>
      <c r="E311" s="12"/>
      <c r="G311" s="11"/>
      <c r="K311" s="11"/>
      <c r="O311" s="11"/>
    </row>
    <row r="312" spans="2:19" s="2" customFormat="1" x14ac:dyDescent="0.25">
      <c r="C312" s="11"/>
      <c r="G312" s="11"/>
      <c r="K312" s="11"/>
      <c r="O312" s="11"/>
    </row>
    <row r="313" spans="2:19" s="2" customFormat="1" x14ac:dyDescent="0.25">
      <c r="C313" s="11"/>
      <c r="G313" s="11"/>
      <c r="K313" s="11"/>
      <c r="O313" s="11"/>
    </row>
    <row r="314" spans="2:19" s="2" customFormat="1" x14ac:dyDescent="0.25">
      <c r="C314" s="11"/>
      <c r="G314" s="11"/>
      <c r="K314" s="11"/>
      <c r="O314" s="11"/>
    </row>
    <row r="315" spans="2:19" s="2" customFormat="1" x14ac:dyDescent="0.25">
      <c r="C315" s="11"/>
      <c r="G315" s="11"/>
      <c r="K315" s="11"/>
      <c r="O315" s="11"/>
    </row>
    <row r="316" spans="2:19" s="2" customFormat="1" x14ac:dyDescent="0.25">
      <c r="C316" s="11"/>
      <c r="G316" s="11"/>
      <c r="K316" s="11"/>
      <c r="O316" s="11"/>
    </row>
    <row r="317" spans="2:19" s="2" customFormat="1" x14ac:dyDescent="0.25">
      <c r="B317" s="6"/>
      <c r="C317" s="11"/>
      <c r="F317" s="6"/>
      <c r="G317" s="11"/>
      <c r="J317" s="6"/>
      <c r="K317" s="11"/>
      <c r="N317" s="6"/>
      <c r="O317" s="11"/>
    </row>
    <row r="318" spans="2:19" s="2" customFormat="1" x14ac:dyDescent="0.25">
      <c r="C318" s="11"/>
      <c r="G318" s="11"/>
      <c r="K318" s="11"/>
      <c r="O318" s="11"/>
    </row>
    <row r="319" spans="2:19" s="2" customFormat="1" x14ac:dyDescent="0.25">
      <c r="O319" s="11"/>
    </row>
    <row r="320" spans="2:19" s="2" customFormat="1" x14ac:dyDescent="0.25"/>
    <row r="321" spans="2:17" s="2" customFormat="1" x14ac:dyDescent="0.25"/>
    <row r="322" spans="2:17" s="2" customFormat="1" x14ac:dyDescent="0.25"/>
    <row r="323" spans="2:17" s="2" customFormat="1" x14ac:dyDescent="0.25">
      <c r="C323" s="11"/>
      <c r="D323" s="6"/>
      <c r="E323" s="12"/>
      <c r="G323" s="11"/>
      <c r="H323" s="6"/>
      <c r="I323" s="12"/>
      <c r="K323" s="11"/>
      <c r="L323" s="6"/>
      <c r="M323" s="12"/>
      <c r="P323" s="6"/>
      <c r="Q323" s="12"/>
    </row>
    <row r="324" spans="2:17" s="2" customFormat="1" x14ac:dyDescent="0.25">
      <c r="C324" s="11"/>
      <c r="G324" s="11"/>
      <c r="K324" s="11"/>
      <c r="O324" s="11"/>
      <c r="P324" s="6"/>
    </row>
    <row r="325" spans="2:17" s="2" customFormat="1" x14ac:dyDescent="0.25">
      <c r="C325" s="11"/>
      <c r="G325" s="11"/>
      <c r="K325" s="11"/>
      <c r="O325" s="11"/>
    </row>
    <row r="326" spans="2:17" s="2" customFormat="1" x14ac:dyDescent="0.25">
      <c r="C326" s="11"/>
      <c r="G326" s="11"/>
      <c r="K326" s="11"/>
      <c r="O326" s="11"/>
    </row>
    <row r="327" spans="2:17" s="2" customFormat="1" x14ac:dyDescent="0.25">
      <c r="C327" s="11"/>
      <c r="G327" s="11"/>
      <c r="K327" s="11"/>
      <c r="O327" s="11"/>
    </row>
    <row r="328" spans="2:17" s="2" customFormat="1" x14ac:dyDescent="0.25">
      <c r="C328" s="11"/>
      <c r="G328" s="11"/>
      <c r="K328" s="11"/>
      <c r="O328" s="11"/>
    </row>
    <row r="329" spans="2:17" s="2" customFormat="1" x14ac:dyDescent="0.25">
      <c r="C329" s="11"/>
      <c r="G329" s="11"/>
      <c r="K329" s="11"/>
      <c r="O329" s="11"/>
    </row>
    <row r="330" spans="2:17" s="2" customFormat="1" x14ac:dyDescent="0.25">
      <c r="C330" s="11"/>
      <c r="G330" s="11"/>
      <c r="K330" s="11"/>
      <c r="O330" s="11"/>
    </row>
    <row r="331" spans="2:17" s="2" customFormat="1" x14ac:dyDescent="0.25">
      <c r="C331" s="11"/>
      <c r="G331" s="11"/>
      <c r="K331" s="11"/>
      <c r="O331" s="11"/>
    </row>
    <row r="332" spans="2:17" s="2" customFormat="1" x14ac:dyDescent="0.25">
      <c r="C332" s="11"/>
      <c r="G332" s="11"/>
      <c r="K332" s="11"/>
      <c r="O332" s="11"/>
    </row>
    <row r="333" spans="2:17" s="2" customFormat="1" x14ac:dyDescent="0.25">
      <c r="B333" s="6"/>
      <c r="C333" s="11"/>
      <c r="F333" s="6"/>
      <c r="G333" s="11"/>
      <c r="J333" s="6"/>
      <c r="K333" s="11"/>
      <c r="N333" s="6"/>
      <c r="O333" s="11"/>
    </row>
    <row r="334" spans="2:17" s="2" customFormat="1" x14ac:dyDescent="0.25">
      <c r="C334" s="11"/>
      <c r="G334" s="11"/>
      <c r="K334" s="11"/>
      <c r="O334" s="11"/>
    </row>
    <row r="335" spans="2:17" s="2" customFormat="1" x14ac:dyDescent="0.25">
      <c r="O335" s="11"/>
    </row>
    <row r="336" spans="2:17" s="2" customFormat="1" x14ac:dyDescent="0.25"/>
    <row r="337" spans="2:17" s="2" customFormat="1" x14ac:dyDescent="0.25">
      <c r="P337" s="6"/>
      <c r="Q337" s="12"/>
    </row>
    <row r="338" spans="2:17" s="2" customFormat="1" x14ac:dyDescent="0.25">
      <c r="O338" s="11"/>
      <c r="P338" s="6"/>
    </row>
    <row r="339" spans="2:17" s="2" customFormat="1" x14ac:dyDescent="0.25">
      <c r="O339" s="11"/>
      <c r="P339" s="6"/>
    </row>
    <row r="340" spans="2:17" s="2" customFormat="1" x14ac:dyDescent="0.25">
      <c r="O340" s="11"/>
    </row>
    <row r="341" spans="2:17" s="2" customFormat="1" x14ac:dyDescent="0.25">
      <c r="O341" s="11"/>
    </row>
    <row r="342" spans="2:17" s="2" customFormat="1" x14ac:dyDescent="0.25">
      <c r="O342" s="11"/>
    </row>
    <row r="343" spans="2:17" s="2" customFormat="1" x14ac:dyDescent="0.25">
      <c r="O343" s="11"/>
    </row>
    <row r="344" spans="2:17" s="2" customFormat="1" x14ac:dyDescent="0.25">
      <c r="G344" s="11"/>
      <c r="H344" s="6"/>
      <c r="I344" s="12"/>
      <c r="K344" s="11"/>
      <c r="M344" s="12"/>
      <c r="O344" s="11"/>
    </row>
    <row r="345" spans="2:17" s="2" customFormat="1" x14ac:dyDescent="0.25">
      <c r="G345" s="11"/>
      <c r="K345" s="11"/>
      <c r="O345" s="11"/>
    </row>
    <row r="346" spans="2:17" s="2" customFormat="1" x14ac:dyDescent="0.25">
      <c r="D346" s="12"/>
      <c r="E346" s="12"/>
      <c r="G346" s="11"/>
      <c r="K346" s="11"/>
      <c r="O346" s="11"/>
    </row>
    <row r="347" spans="2:17" s="2" customFormat="1" x14ac:dyDescent="0.25">
      <c r="C347" s="11"/>
      <c r="G347" s="11"/>
      <c r="K347" s="11"/>
      <c r="O347" s="11"/>
    </row>
    <row r="348" spans="2:17" s="2" customFormat="1" x14ac:dyDescent="0.25">
      <c r="C348" s="11"/>
      <c r="G348" s="11"/>
      <c r="K348" s="11"/>
      <c r="O348" s="11"/>
    </row>
    <row r="349" spans="2:17" s="2" customFormat="1" x14ac:dyDescent="0.25">
      <c r="C349" s="11"/>
      <c r="G349" s="11"/>
      <c r="K349" s="11"/>
      <c r="O349" s="11"/>
    </row>
    <row r="350" spans="2:17" s="2" customFormat="1" x14ac:dyDescent="0.25">
      <c r="C350" s="11"/>
      <c r="G350" s="11"/>
      <c r="K350" s="11"/>
      <c r="O350" s="11"/>
    </row>
    <row r="351" spans="2:17" s="2" customFormat="1" x14ac:dyDescent="0.25">
      <c r="B351" s="6"/>
      <c r="C351" s="11"/>
      <c r="F351" s="6"/>
      <c r="G351" s="11"/>
      <c r="J351" s="6"/>
      <c r="K351" s="11"/>
      <c r="N351" s="6"/>
      <c r="O351" s="11"/>
    </row>
    <row r="352" spans="2:17" s="2" customFormat="1" x14ac:dyDescent="0.25">
      <c r="C352" s="11"/>
      <c r="G352" s="11"/>
      <c r="K352" s="11"/>
      <c r="O352" s="11"/>
    </row>
    <row r="353" spans="2:17" s="2" customFormat="1" x14ac:dyDescent="0.25">
      <c r="O353" s="11"/>
    </row>
    <row r="354" spans="2:17" s="2" customFormat="1" x14ac:dyDescent="0.25">
      <c r="O354" s="11"/>
    </row>
    <row r="355" spans="2:17" s="2" customFormat="1" x14ac:dyDescent="0.25">
      <c r="O355" s="11"/>
    </row>
    <row r="356" spans="2:17" s="2" customFormat="1" x14ac:dyDescent="0.25">
      <c r="Q356" s="12"/>
    </row>
    <row r="357" spans="2:17" s="2" customFormat="1" x14ac:dyDescent="0.25">
      <c r="E357" s="12"/>
      <c r="H357" s="31"/>
      <c r="I357" s="12"/>
      <c r="M357" s="12"/>
    </row>
    <row r="358" spans="2:17" s="2" customFormat="1" x14ac:dyDescent="0.25">
      <c r="C358" s="11"/>
      <c r="G358" s="11"/>
      <c r="K358" s="11"/>
      <c r="O358" s="38"/>
    </row>
    <row r="359" spans="2:17" s="2" customFormat="1" x14ac:dyDescent="0.25">
      <c r="C359" s="11"/>
      <c r="G359" s="11"/>
      <c r="K359" s="11"/>
      <c r="O359" s="38"/>
    </row>
    <row r="360" spans="2:17" s="2" customFormat="1" x14ac:dyDescent="0.25">
      <c r="C360" s="11"/>
      <c r="G360" s="11"/>
      <c r="K360" s="11"/>
      <c r="O360" s="38"/>
    </row>
    <row r="361" spans="2:17" s="2" customFormat="1" x14ac:dyDescent="0.25">
      <c r="C361" s="11"/>
      <c r="G361" s="11"/>
      <c r="K361" s="11"/>
      <c r="O361" s="38"/>
    </row>
    <row r="362" spans="2:17" s="2" customFormat="1" x14ac:dyDescent="0.25">
      <c r="C362" s="11"/>
      <c r="G362" s="11"/>
      <c r="K362" s="11"/>
      <c r="O362" s="38"/>
    </row>
    <row r="363" spans="2:17" s="2" customFormat="1" x14ac:dyDescent="0.25">
      <c r="C363" s="11"/>
      <c r="G363" s="11"/>
      <c r="K363" s="11"/>
      <c r="O363" s="38"/>
    </row>
    <row r="364" spans="2:17" s="2" customFormat="1" x14ac:dyDescent="0.25">
      <c r="C364" s="11"/>
      <c r="G364" s="11"/>
      <c r="K364" s="11"/>
      <c r="O364" s="38"/>
    </row>
    <row r="365" spans="2:17" s="2" customFormat="1" x14ac:dyDescent="0.25">
      <c r="B365" s="6"/>
      <c r="C365" s="11"/>
      <c r="F365" s="6"/>
      <c r="G365" s="11"/>
      <c r="K365" s="11"/>
      <c r="O365" s="38"/>
    </row>
    <row r="366" spans="2:17" s="2" customFormat="1" x14ac:dyDescent="0.25">
      <c r="C366" s="11"/>
      <c r="G366" s="11"/>
      <c r="J366" s="6"/>
      <c r="K366" s="11"/>
      <c r="O366" s="38"/>
    </row>
    <row r="367" spans="2:17" s="2" customFormat="1" x14ac:dyDescent="0.25">
      <c r="K367" s="11"/>
      <c r="O367" s="38"/>
    </row>
    <row r="368" spans="2:17" s="2" customFormat="1" x14ac:dyDescent="0.25">
      <c r="N368" s="6"/>
      <c r="O368" s="14"/>
    </row>
    <row r="369" spans="2:17" s="2" customFormat="1" x14ac:dyDescent="0.25">
      <c r="O369" s="38"/>
    </row>
    <row r="370" spans="2:17" s="2" customFormat="1" x14ac:dyDescent="0.25">
      <c r="O370" s="14"/>
    </row>
    <row r="371" spans="2:17" s="2" customFormat="1" x14ac:dyDescent="0.25">
      <c r="O371" s="14"/>
    </row>
    <row r="372" spans="2:17" s="2" customFormat="1" x14ac:dyDescent="0.25">
      <c r="C372" s="11"/>
      <c r="E372" s="12"/>
      <c r="I372" s="12"/>
      <c r="M372" s="12"/>
      <c r="Q372" s="12"/>
    </row>
    <row r="373" spans="2:17" s="2" customFormat="1" x14ac:dyDescent="0.25">
      <c r="C373" s="11"/>
      <c r="G373" s="11"/>
      <c r="K373" s="11"/>
    </row>
    <row r="374" spans="2:17" s="2" customFormat="1" x14ac:dyDescent="0.25">
      <c r="C374" s="11"/>
      <c r="G374" s="11"/>
      <c r="K374" s="11"/>
      <c r="O374" s="11"/>
    </row>
    <row r="375" spans="2:17" s="2" customFormat="1" x14ac:dyDescent="0.25">
      <c r="C375" s="11"/>
      <c r="G375" s="11"/>
      <c r="K375" s="11"/>
      <c r="O375" s="11"/>
    </row>
    <row r="376" spans="2:17" s="2" customFormat="1" x14ac:dyDescent="0.25">
      <c r="C376" s="11"/>
      <c r="G376" s="11"/>
      <c r="K376" s="11"/>
      <c r="O376" s="11"/>
    </row>
    <row r="377" spans="2:17" s="2" customFormat="1" x14ac:dyDescent="0.25">
      <c r="C377" s="11"/>
      <c r="G377" s="11"/>
      <c r="K377" s="11"/>
      <c r="O377" s="11"/>
    </row>
    <row r="378" spans="2:17" s="2" customFormat="1" x14ac:dyDescent="0.25">
      <c r="C378" s="11"/>
      <c r="G378" s="11"/>
      <c r="K378" s="11"/>
      <c r="O378" s="11"/>
    </row>
    <row r="379" spans="2:17" s="2" customFormat="1" x14ac:dyDescent="0.25">
      <c r="C379" s="11"/>
      <c r="G379" s="11"/>
      <c r="K379" s="11"/>
      <c r="O379" s="11"/>
    </row>
    <row r="380" spans="2:17" s="2" customFormat="1" x14ac:dyDescent="0.25">
      <c r="C380" s="11"/>
      <c r="F380" s="6"/>
      <c r="G380" s="11"/>
      <c r="J380" s="6"/>
      <c r="K380" s="11"/>
      <c r="O380" s="11"/>
    </row>
    <row r="381" spans="2:17" s="2" customFormat="1" x14ac:dyDescent="0.25">
      <c r="C381" s="11"/>
      <c r="G381" s="11"/>
      <c r="K381" s="11"/>
      <c r="O381" s="11"/>
    </row>
    <row r="382" spans="2:17" s="2" customFormat="1" x14ac:dyDescent="0.25">
      <c r="B382" s="6"/>
      <c r="C382" s="11"/>
      <c r="N382" s="6"/>
      <c r="O382" s="11"/>
    </row>
    <row r="383" spans="2:17" s="2" customFormat="1" x14ac:dyDescent="0.25">
      <c r="C383" s="11"/>
      <c r="O383" s="11"/>
    </row>
    <row r="384" spans="2:17" s="2" customFormat="1" x14ac:dyDescent="0.25">
      <c r="C384" s="11"/>
      <c r="O384" s="11"/>
    </row>
    <row r="385" spans="2:21" s="2" customFormat="1" x14ac:dyDescent="0.25"/>
    <row r="386" spans="2:21" s="2" customFormat="1" x14ac:dyDescent="0.25">
      <c r="E386" s="12"/>
      <c r="I386" s="12"/>
      <c r="M386" s="12"/>
      <c r="Q386" s="12"/>
      <c r="T386" s="6"/>
      <c r="U386" s="12"/>
    </row>
    <row r="387" spans="2:21" s="2" customFormat="1" x14ac:dyDescent="0.25">
      <c r="C387" s="11"/>
      <c r="G387" s="11"/>
      <c r="K387" s="11"/>
      <c r="O387" s="11"/>
      <c r="S387" s="11"/>
    </row>
    <row r="388" spans="2:21" s="2" customFormat="1" x14ac:dyDescent="0.25">
      <c r="C388" s="11"/>
      <c r="G388" s="11"/>
      <c r="K388" s="11"/>
      <c r="O388" s="11"/>
      <c r="S388" s="11"/>
    </row>
    <row r="389" spans="2:21" s="2" customFormat="1" x14ac:dyDescent="0.25">
      <c r="C389" s="11"/>
      <c r="G389" s="11"/>
      <c r="K389" s="11"/>
      <c r="O389" s="11"/>
      <c r="S389" s="11"/>
    </row>
    <row r="390" spans="2:21" s="2" customFormat="1" x14ac:dyDescent="0.25">
      <c r="B390" s="6"/>
      <c r="C390" s="11"/>
      <c r="G390" s="11"/>
      <c r="K390" s="11"/>
      <c r="O390" s="11"/>
      <c r="S390" s="11"/>
    </row>
    <row r="391" spans="2:21" s="2" customFormat="1" x14ac:dyDescent="0.25">
      <c r="C391" s="11"/>
      <c r="G391" s="11"/>
      <c r="K391" s="11"/>
      <c r="O391" s="11"/>
      <c r="S391" s="11"/>
    </row>
    <row r="392" spans="2:21" s="2" customFormat="1" x14ac:dyDescent="0.25">
      <c r="G392" s="11"/>
      <c r="K392" s="11"/>
      <c r="N392" s="6"/>
      <c r="O392" s="11"/>
      <c r="S392" s="11"/>
    </row>
    <row r="393" spans="2:21" s="2" customFormat="1" x14ac:dyDescent="0.25">
      <c r="G393" s="11"/>
      <c r="J393" s="6"/>
      <c r="K393" s="11"/>
      <c r="O393" s="11"/>
      <c r="S393" s="11"/>
    </row>
    <row r="394" spans="2:21" s="2" customFormat="1" x14ac:dyDescent="0.25">
      <c r="G394" s="11"/>
      <c r="K394" s="11"/>
      <c r="O394" s="11"/>
      <c r="S394" s="11"/>
    </row>
    <row r="395" spans="2:21" s="2" customFormat="1" x14ac:dyDescent="0.25">
      <c r="G395" s="11"/>
      <c r="R395" s="6"/>
      <c r="S395" s="11"/>
    </row>
    <row r="396" spans="2:21" s="2" customFormat="1" x14ac:dyDescent="0.25">
      <c r="F396" s="6"/>
      <c r="G396" s="11"/>
      <c r="S396" s="11"/>
    </row>
    <row r="397" spans="2:21" s="2" customFormat="1" x14ac:dyDescent="0.25">
      <c r="G397" s="11"/>
    </row>
    <row r="398" spans="2:21" s="2" customFormat="1" x14ac:dyDescent="0.25"/>
    <row r="399" spans="2:21" s="2" customFormat="1" x14ac:dyDescent="0.25"/>
    <row r="400" spans="2:21" s="2" customFormat="1" x14ac:dyDescent="0.25"/>
    <row r="401" spans="2:21" s="2" customFormat="1" x14ac:dyDescent="0.25">
      <c r="C401" s="11"/>
      <c r="D401" s="1"/>
      <c r="E401" s="12"/>
      <c r="G401" s="11"/>
      <c r="H401" s="1"/>
      <c r="I401" s="39"/>
      <c r="J401" s="11"/>
      <c r="K401" s="12"/>
      <c r="L401" s="11"/>
    </row>
    <row r="402" spans="2:21" s="2" customFormat="1" x14ac:dyDescent="0.25">
      <c r="C402" s="11"/>
      <c r="G402" s="11"/>
      <c r="J402" s="11"/>
      <c r="L402" s="11"/>
    </row>
    <row r="403" spans="2:21" s="2" customFormat="1" x14ac:dyDescent="0.25">
      <c r="C403" s="11"/>
      <c r="G403" s="11"/>
      <c r="J403" s="11"/>
      <c r="L403" s="11"/>
      <c r="N403" s="6"/>
      <c r="O403" s="11"/>
    </row>
    <row r="404" spans="2:21" s="2" customFormat="1" x14ac:dyDescent="0.25">
      <c r="C404" s="11"/>
      <c r="G404" s="11"/>
      <c r="J404" s="11"/>
      <c r="L404" s="11"/>
      <c r="O404" s="11"/>
    </row>
    <row r="405" spans="2:21" s="2" customFormat="1" x14ac:dyDescent="0.25">
      <c r="C405" s="11"/>
      <c r="G405" s="11"/>
      <c r="J405" s="11"/>
      <c r="L405" s="11"/>
      <c r="O405" s="11"/>
    </row>
    <row r="406" spans="2:21" s="2" customFormat="1" x14ac:dyDescent="0.25">
      <c r="B406" s="6"/>
      <c r="C406" s="11"/>
      <c r="G406" s="11"/>
      <c r="J406" s="11"/>
      <c r="L406" s="11"/>
      <c r="U406" s="40"/>
    </row>
    <row r="407" spans="2:21" s="2" customFormat="1" x14ac:dyDescent="0.25">
      <c r="C407" s="11"/>
      <c r="G407" s="11"/>
      <c r="J407" s="11"/>
      <c r="L407" s="11"/>
    </row>
    <row r="408" spans="2:21" s="2" customFormat="1" x14ac:dyDescent="0.25">
      <c r="G408" s="11"/>
      <c r="J408" s="11"/>
      <c r="L408" s="11"/>
    </row>
    <row r="409" spans="2:21" s="2" customFormat="1" x14ac:dyDescent="0.25">
      <c r="G409" s="11"/>
      <c r="J409" s="11"/>
      <c r="L409" s="11"/>
    </row>
    <row r="410" spans="2:21" s="2" customFormat="1" x14ac:dyDescent="0.25">
      <c r="F410" s="6"/>
      <c r="G410" s="11"/>
      <c r="J410" s="11"/>
      <c r="L410" s="11"/>
    </row>
    <row r="411" spans="2:21" s="2" customFormat="1" x14ac:dyDescent="0.25">
      <c r="I411" s="6"/>
      <c r="J411" s="11"/>
      <c r="L411" s="11"/>
    </row>
    <row r="412" spans="2:21" s="2" customFormat="1" x14ac:dyDescent="0.25">
      <c r="I412" s="6"/>
      <c r="J412" s="11"/>
      <c r="K412" s="6"/>
      <c r="L412" s="11"/>
    </row>
    <row r="413" spans="2:21" s="2" customFormat="1" x14ac:dyDescent="0.25">
      <c r="J413" s="11"/>
    </row>
    <row r="414" spans="2:21" s="2" customFormat="1" x14ac:dyDescent="0.25">
      <c r="J414" s="11"/>
    </row>
    <row r="415" spans="2:21" s="2" customFormat="1" x14ac:dyDescent="0.25">
      <c r="J415" s="11"/>
    </row>
    <row r="416" spans="2:21" s="2" customFormat="1" x14ac:dyDescent="0.25">
      <c r="L416" s="18"/>
    </row>
    <row r="417" spans="2:21" s="2" customFormat="1" x14ac:dyDescent="0.25">
      <c r="C417" s="11"/>
      <c r="E417" s="6"/>
      <c r="G417" s="11"/>
      <c r="H417" s="6"/>
      <c r="I417" s="12"/>
      <c r="K417" s="11"/>
      <c r="L417" s="1"/>
      <c r="M417" s="6"/>
      <c r="Q417" s="6"/>
      <c r="T417" s="11"/>
    </row>
    <row r="418" spans="2:21" s="2" customFormat="1" x14ac:dyDescent="0.25">
      <c r="C418" s="11"/>
      <c r="G418" s="11"/>
      <c r="K418" s="11"/>
      <c r="O418" s="11"/>
      <c r="T418" s="11"/>
    </row>
    <row r="419" spans="2:21" s="2" customFormat="1" x14ac:dyDescent="0.25">
      <c r="C419" s="11"/>
      <c r="G419" s="11"/>
      <c r="K419" s="11"/>
      <c r="O419" s="11"/>
      <c r="T419" s="11"/>
    </row>
    <row r="420" spans="2:21" s="2" customFormat="1" x14ac:dyDescent="0.25">
      <c r="C420" s="11"/>
      <c r="G420" s="11"/>
      <c r="K420" s="11"/>
      <c r="O420" s="11"/>
      <c r="T420" s="11"/>
    </row>
    <row r="421" spans="2:21" s="2" customFormat="1" x14ac:dyDescent="0.25">
      <c r="C421" s="11"/>
      <c r="G421" s="11"/>
      <c r="O421" s="11"/>
      <c r="T421" s="11"/>
    </row>
    <row r="422" spans="2:21" s="2" customFormat="1" x14ac:dyDescent="0.25">
      <c r="C422" s="11"/>
      <c r="G422" s="11"/>
      <c r="K422" s="11"/>
      <c r="O422" s="11"/>
      <c r="T422" s="11"/>
    </row>
    <row r="423" spans="2:21" s="2" customFormat="1" x14ac:dyDescent="0.25">
      <c r="C423" s="11"/>
      <c r="G423" s="11"/>
      <c r="K423" s="11"/>
      <c r="O423" s="11"/>
      <c r="T423" s="11"/>
    </row>
    <row r="424" spans="2:21" s="2" customFormat="1" x14ac:dyDescent="0.25">
      <c r="B424" s="6"/>
      <c r="C424" s="11"/>
      <c r="G424" s="11"/>
      <c r="J424" s="6"/>
      <c r="K424" s="11"/>
      <c r="O424" s="11"/>
      <c r="S424" s="6"/>
      <c r="T424" s="11"/>
    </row>
    <row r="425" spans="2:21" s="2" customFormat="1" x14ac:dyDescent="0.25">
      <c r="C425" s="11"/>
      <c r="G425" s="11"/>
      <c r="J425" s="6"/>
      <c r="K425" s="11"/>
      <c r="N425" s="6"/>
      <c r="O425" s="11"/>
      <c r="T425" s="11"/>
    </row>
    <row r="426" spans="2:21" s="2" customFormat="1" x14ac:dyDescent="0.25">
      <c r="C426" s="11"/>
      <c r="F426" s="6"/>
      <c r="G426" s="11"/>
      <c r="K426" s="11"/>
      <c r="O426" s="11"/>
    </row>
    <row r="427" spans="2:21" s="2" customFormat="1" x14ac:dyDescent="0.25">
      <c r="G427" s="11"/>
      <c r="O427" s="11"/>
    </row>
    <row r="428" spans="2:21" s="2" customFormat="1" x14ac:dyDescent="0.25">
      <c r="G428" s="11"/>
    </row>
    <row r="429" spans="2:21" s="2" customFormat="1" x14ac:dyDescent="0.25"/>
    <row r="430" spans="2:21" s="2" customFormat="1" x14ac:dyDescent="0.25">
      <c r="C430" s="11"/>
      <c r="E430" s="12"/>
      <c r="G430" s="11"/>
      <c r="I430" s="12"/>
      <c r="K430" s="11"/>
      <c r="L430" s="1"/>
      <c r="M430" s="12"/>
      <c r="Q430" s="12"/>
      <c r="T430" s="11"/>
      <c r="U430" s="18"/>
    </row>
    <row r="431" spans="2:21" s="2" customFormat="1" x14ac:dyDescent="0.25">
      <c r="C431" s="11"/>
      <c r="G431" s="11"/>
      <c r="K431" s="11"/>
      <c r="O431" s="11"/>
      <c r="T431" s="11"/>
    </row>
    <row r="432" spans="2:21" s="2" customFormat="1" x14ac:dyDescent="0.25">
      <c r="C432" s="11"/>
      <c r="G432" s="11"/>
      <c r="K432" s="11"/>
      <c r="O432" s="11"/>
      <c r="T432" s="11"/>
    </row>
    <row r="433" spans="2:20" s="2" customFormat="1" x14ac:dyDescent="0.25">
      <c r="C433" s="11"/>
      <c r="G433" s="11"/>
      <c r="K433" s="11"/>
      <c r="O433" s="11"/>
      <c r="T433" s="11"/>
    </row>
    <row r="434" spans="2:20" s="2" customFormat="1" x14ac:dyDescent="0.25">
      <c r="C434" s="11"/>
      <c r="G434" s="11"/>
      <c r="K434" s="11"/>
      <c r="O434" s="11"/>
      <c r="T434" s="11"/>
    </row>
    <row r="435" spans="2:20" s="2" customFormat="1" x14ac:dyDescent="0.25">
      <c r="C435" s="11"/>
      <c r="G435" s="11"/>
      <c r="H435" s="10"/>
      <c r="J435" s="6"/>
      <c r="K435" s="11"/>
      <c r="O435" s="11"/>
      <c r="T435" s="11"/>
    </row>
    <row r="436" spans="2:20" s="2" customFormat="1" x14ac:dyDescent="0.25">
      <c r="B436" s="6"/>
      <c r="C436" s="11"/>
      <c r="G436" s="11"/>
      <c r="K436" s="11"/>
      <c r="O436" s="11"/>
      <c r="T436" s="11"/>
    </row>
    <row r="437" spans="2:20" s="2" customFormat="1" x14ac:dyDescent="0.25">
      <c r="C437" s="11"/>
      <c r="G437" s="11"/>
      <c r="K437" s="11"/>
      <c r="O437" s="11"/>
      <c r="T437" s="11"/>
    </row>
    <row r="438" spans="2:20" s="2" customFormat="1" x14ac:dyDescent="0.25">
      <c r="C438" s="11"/>
      <c r="G438" s="11"/>
      <c r="O438" s="11"/>
      <c r="T438" s="11"/>
    </row>
    <row r="439" spans="2:20" s="2" customFormat="1" x14ac:dyDescent="0.25">
      <c r="C439" s="11"/>
      <c r="F439" s="6"/>
      <c r="G439" s="11"/>
      <c r="O439" s="11"/>
      <c r="T439" s="11"/>
    </row>
    <row r="440" spans="2:20" s="2" customFormat="1" x14ac:dyDescent="0.25">
      <c r="C440" s="11"/>
      <c r="G440" s="11"/>
      <c r="T440" s="11"/>
    </row>
    <row r="441" spans="2:20" s="2" customFormat="1" x14ac:dyDescent="0.25">
      <c r="T441" s="11"/>
    </row>
    <row r="442" spans="2:20" s="2" customFormat="1" x14ac:dyDescent="0.25"/>
    <row r="443" spans="2:20" s="2" customFormat="1" x14ac:dyDescent="0.25">
      <c r="D443" s="6"/>
      <c r="I443" s="12"/>
      <c r="M443" s="12"/>
      <c r="N443" s="12"/>
      <c r="Q443" s="12"/>
    </row>
    <row r="444" spans="2:20" s="2" customFormat="1" x14ac:dyDescent="0.25">
      <c r="C444" s="11"/>
      <c r="G444" s="11"/>
    </row>
    <row r="445" spans="2:20" s="2" customFormat="1" x14ac:dyDescent="0.25">
      <c r="C445" s="11"/>
      <c r="G445" s="11"/>
      <c r="O445" s="11"/>
    </row>
    <row r="446" spans="2:20" s="2" customFormat="1" x14ac:dyDescent="0.25">
      <c r="C446" s="11"/>
      <c r="D446" s="11"/>
      <c r="F446" s="12"/>
      <c r="G446" s="11"/>
      <c r="I446" s="11"/>
      <c r="M446" s="11"/>
      <c r="N446" s="11"/>
      <c r="O446" s="11"/>
      <c r="P446" s="12"/>
      <c r="R446" s="11"/>
      <c r="T446" s="39"/>
    </row>
    <row r="447" spans="2:20" s="2" customFormat="1" x14ac:dyDescent="0.25">
      <c r="C447" s="11"/>
      <c r="D447" s="11"/>
      <c r="G447" s="11"/>
      <c r="I447" s="11"/>
      <c r="M447" s="11"/>
      <c r="N447" s="11"/>
      <c r="O447" s="11"/>
      <c r="R447" s="11"/>
    </row>
    <row r="448" spans="2:20" s="2" customFormat="1" x14ac:dyDescent="0.25">
      <c r="B448" s="6"/>
      <c r="C448" s="11"/>
      <c r="D448" s="11"/>
      <c r="G448" s="11"/>
      <c r="I448" s="11"/>
      <c r="M448" s="11"/>
      <c r="N448" s="11"/>
      <c r="O448" s="11"/>
      <c r="R448" s="11"/>
    </row>
    <row r="449" spans="3:24" s="2" customFormat="1" x14ac:dyDescent="0.25">
      <c r="C449" s="11"/>
      <c r="D449" s="11"/>
      <c r="G449" s="11"/>
      <c r="I449" s="11"/>
      <c r="K449" s="11"/>
      <c r="M449" s="11"/>
      <c r="N449" s="11"/>
      <c r="O449" s="11"/>
      <c r="R449" s="11"/>
    </row>
    <row r="450" spans="3:24" s="2" customFormat="1" x14ac:dyDescent="0.25">
      <c r="D450" s="11"/>
      <c r="G450" s="11"/>
      <c r="I450" s="11"/>
      <c r="J450" s="6"/>
      <c r="K450" s="11"/>
      <c r="M450" s="11"/>
      <c r="N450" s="11"/>
      <c r="O450" s="11"/>
      <c r="R450" s="11"/>
    </row>
    <row r="451" spans="3:24" s="2" customFormat="1" x14ac:dyDescent="0.25">
      <c r="D451" s="11"/>
      <c r="G451" s="11"/>
      <c r="I451" s="11"/>
      <c r="K451" s="11"/>
      <c r="M451" s="11"/>
      <c r="N451" s="11"/>
      <c r="O451" s="11"/>
      <c r="R451" s="11"/>
    </row>
    <row r="452" spans="3:24" s="2" customFormat="1" x14ac:dyDescent="0.25">
      <c r="D452" s="11"/>
      <c r="G452" s="11"/>
      <c r="I452" s="11"/>
      <c r="M452" s="11"/>
      <c r="N452" s="6"/>
      <c r="O452" s="11"/>
      <c r="R452" s="11"/>
    </row>
    <row r="453" spans="3:24" s="2" customFormat="1" x14ac:dyDescent="0.25">
      <c r="D453" s="11"/>
      <c r="G453" s="11"/>
      <c r="I453" s="11"/>
      <c r="M453" s="11"/>
      <c r="N453" s="11"/>
      <c r="O453" s="11"/>
      <c r="R453" s="11"/>
    </row>
    <row r="454" spans="3:24" s="2" customFormat="1" x14ac:dyDescent="0.25">
      <c r="D454" s="11"/>
      <c r="I454" s="11"/>
      <c r="M454" s="11"/>
      <c r="N454" s="11"/>
      <c r="O454" s="11"/>
      <c r="R454" s="11"/>
    </row>
    <row r="455" spans="3:24" s="2" customFormat="1" x14ac:dyDescent="0.25">
      <c r="D455" s="11"/>
      <c r="G455" s="11"/>
      <c r="I455" s="11"/>
      <c r="M455" s="11"/>
      <c r="N455" s="11"/>
      <c r="R455" s="11"/>
    </row>
    <row r="456" spans="3:24" s="2" customFormat="1" x14ac:dyDescent="0.25">
      <c r="C456" s="6"/>
      <c r="D456" s="11"/>
      <c r="F456" s="6"/>
      <c r="G456" s="11"/>
      <c r="I456" s="11"/>
      <c r="R456" s="11"/>
    </row>
    <row r="457" spans="3:24" s="2" customFormat="1" x14ac:dyDescent="0.25">
      <c r="D457" s="11"/>
      <c r="G457" s="11"/>
    </row>
    <row r="458" spans="3:24" s="2" customFormat="1" x14ac:dyDescent="0.25"/>
    <row r="459" spans="3:24" s="2" customFormat="1" x14ac:dyDescent="0.25"/>
    <row r="460" spans="3:24" s="2" customFormat="1" x14ac:dyDescent="0.25"/>
    <row r="461" spans="3:24" s="2" customFormat="1" x14ac:dyDescent="0.25">
      <c r="I461" s="11"/>
      <c r="J461" s="1"/>
      <c r="K461" s="12"/>
      <c r="M461" s="11"/>
      <c r="N461" s="11"/>
      <c r="P461" s="12"/>
      <c r="R461" s="11"/>
      <c r="T461" s="12"/>
      <c r="V461" s="11"/>
      <c r="X461" s="12"/>
    </row>
    <row r="462" spans="3:24" s="2" customFormat="1" x14ac:dyDescent="0.25">
      <c r="I462" s="11"/>
      <c r="M462" s="11"/>
      <c r="N462" s="11"/>
      <c r="O462" s="1"/>
      <c r="R462" s="11"/>
      <c r="V462" s="11"/>
    </row>
    <row r="463" spans="3:24" s="2" customFormat="1" x14ac:dyDescent="0.25">
      <c r="I463" s="11"/>
      <c r="M463" s="11"/>
      <c r="N463" s="11"/>
      <c r="R463" s="11"/>
      <c r="V463" s="11"/>
    </row>
    <row r="464" spans="3:24" s="2" customFormat="1" x14ac:dyDescent="0.25">
      <c r="I464" s="11"/>
      <c r="M464" s="11"/>
      <c r="N464" s="11"/>
      <c r="R464" s="11"/>
      <c r="V464" s="11"/>
    </row>
    <row r="465" spans="3:29" s="2" customFormat="1" x14ac:dyDescent="0.25">
      <c r="D465" s="11"/>
      <c r="E465" s="6"/>
      <c r="F465" s="12"/>
      <c r="I465" s="11"/>
      <c r="M465" s="11"/>
      <c r="N465" s="11"/>
      <c r="R465" s="11"/>
      <c r="V465" s="11"/>
    </row>
    <row r="466" spans="3:29" s="2" customFormat="1" x14ac:dyDescent="0.25">
      <c r="D466" s="11"/>
      <c r="I466" s="11"/>
      <c r="M466" s="11"/>
      <c r="N466" s="11"/>
      <c r="R466" s="11"/>
      <c r="V466" s="11"/>
    </row>
    <row r="467" spans="3:29" s="2" customFormat="1" x14ac:dyDescent="0.25">
      <c r="D467" s="11"/>
      <c r="I467" s="11"/>
      <c r="M467" s="11"/>
      <c r="N467" s="11"/>
      <c r="R467" s="11"/>
      <c r="V467" s="11"/>
    </row>
    <row r="468" spans="3:29" s="2" customFormat="1" x14ac:dyDescent="0.25">
      <c r="C468" s="6"/>
      <c r="D468" s="11"/>
      <c r="I468" s="11"/>
      <c r="M468" s="11"/>
      <c r="N468" s="11"/>
      <c r="R468" s="11"/>
      <c r="V468" s="11"/>
    </row>
    <row r="469" spans="3:29" s="2" customFormat="1" x14ac:dyDescent="0.25">
      <c r="D469" s="11"/>
      <c r="I469" s="11"/>
      <c r="V469" s="11"/>
    </row>
    <row r="470" spans="3:29" s="2" customFormat="1" x14ac:dyDescent="0.25">
      <c r="H470" s="6"/>
      <c r="I470" s="11"/>
      <c r="V470" s="11"/>
    </row>
    <row r="471" spans="3:29" s="2" customFormat="1" x14ac:dyDescent="0.25">
      <c r="I471" s="11"/>
    </row>
    <row r="472" spans="3:29" s="2" customFormat="1" x14ac:dyDescent="0.25"/>
    <row r="473" spans="3:29" s="2" customFormat="1" x14ac:dyDescent="0.25"/>
    <row r="474" spans="3:29" s="2" customFormat="1" x14ac:dyDescent="0.25">
      <c r="H474" s="6"/>
      <c r="I474" s="11"/>
      <c r="K474" s="12"/>
      <c r="M474" s="6"/>
      <c r="N474" s="6"/>
      <c r="P474" s="41"/>
      <c r="Q474" s="12"/>
      <c r="T474" s="6"/>
      <c r="U474" s="11"/>
      <c r="W474" s="12"/>
      <c r="Y474" s="6"/>
      <c r="Z474" s="11"/>
      <c r="AC474" s="12"/>
    </row>
    <row r="475" spans="3:29" s="2" customFormat="1" x14ac:dyDescent="0.25">
      <c r="D475" s="11"/>
      <c r="F475" s="12"/>
      <c r="I475" s="11"/>
      <c r="O475" s="11"/>
      <c r="Q475" s="37"/>
      <c r="T475" s="6"/>
      <c r="U475" s="11"/>
      <c r="Y475" s="6"/>
      <c r="Z475" s="11"/>
    </row>
    <row r="476" spans="3:29" s="2" customFormat="1" x14ac:dyDescent="0.25">
      <c r="D476" s="11"/>
      <c r="I476" s="11"/>
      <c r="O476" s="11"/>
      <c r="T476" s="6"/>
      <c r="U476" s="11"/>
      <c r="Y476" s="6"/>
      <c r="Z476" s="11"/>
    </row>
    <row r="477" spans="3:29" s="2" customFormat="1" x14ac:dyDescent="0.25">
      <c r="D477" s="11"/>
      <c r="I477" s="11"/>
      <c r="O477" s="11"/>
      <c r="T477" s="6"/>
      <c r="U477" s="11"/>
      <c r="Y477" s="6"/>
      <c r="Z477" s="11"/>
    </row>
    <row r="478" spans="3:29" s="2" customFormat="1" x14ac:dyDescent="0.25">
      <c r="D478" s="11"/>
      <c r="I478" s="11"/>
      <c r="O478" s="11"/>
      <c r="T478" s="6"/>
      <c r="U478" s="11"/>
      <c r="Y478" s="6"/>
      <c r="Z478" s="11"/>
    </row>
    <row r="479" spans="3:29" s="2" customFormat="1" x14ac:dyDescent="0.25">
      <c r="D479" s="11"/>
      <c r="I479" s="11"/>
      <c r="O479" s="11"/>
      <c r="T479" s="6"/>
      <c r="U479" s="11"/>
      <c r="Y479" s="6"/>
      <c r="Z479" s="11"/>
    </row>
    <row r="480" spans="3:29" x14ac:dyDescent="0.25">
      <c r="D480" s="5"/>
      <c r="I480" s="5"/>
      <c r="O480" s="11"/>
      <c r="T480" s="4"/>
      <c r="U480" s="5"/>
      <c r="Y480" s="4"/>
      <c r="Z480" s="5"/>
    </row>
    <row r="481" spans="3:26" x14ac:dyDescent="0.25">
      <c r="D481" s="5"/>
      <c r="I481" s="5"/>
      <c r="O481" s="5"/>
      <c r="U481" s="5"/>
      <c r="Z481" s="5"/>
    </row>
    <row r="482" spans="3:26" x14ac:dyDescent="0.25">
      <c r="I482" s="5"/>
      <c r="M482" s="4"/>
      <c r="N482" s="4"/>
      <c r="O482" s="5"/>
    </row>
    <row r="483" spans="3:26" x14ac:dyDescent="0.25">
      <c r="I483" s="5"/>
      <c r="O483" s="5"/>
    </row>
    <row r="484" spans="3:26" x14ac:dyDescent="0.25">
      <c r="H484" s="4"/>
      <c r="I484" s="5"/>
      <c r="O484" s="5"/>
    </row>
    <row r="485" spans="3:26" x14ac:dyDescent="0.25">
      <c r="I485" s="5"/>
    </row>
    <row r="489" spans="3:26" x14ac:dyDescent="0.25">
      <c r="C489" s="4"/>
      <c r="D489" s="5"/>
      <c r="G489" s="7"/>
      <c r="K489" s="4"/>
      <c r="L489" s="5"/>
      <c r="P489" s="7"/>
    </row>
    <row r="490" spans="3:26" x14ac:dyDescent="0.25">
      <c r="C490" s="4"/>
      <c r="D490" s="5"/>
      <c r="G490" s="5"/>
      <c r="K490" s="4"/>
      <c r="L490" s="5"/>
    </row>
    <row r="491" spans="3:26" x14ac:dyDescent="0.25">
      <c r="C491" s="4"/>
      <c r="D491" s="5"/>
      <c r="K491" s="4"/>
      <c r="L491" s="5"/>
    </row>
    <row r="492" spans="3:26" x14ac:dyDescent="0.25">
      <c r="C492" s="4"/>
      <c r="D492" s="5"/>
      <c r="K492" s="4"/>
      <c r="L492" s="5"/>
    </row>
    <row r="493" spans="3:26" x14ac:dyDescent="0.25">
      <c r="C493" s="4"/>
      <c r="D493" s="5"/>
      <c r="K493" s="4"/>
      <c r="L493" s="5"/>
    </row>
    <row r="494" spans="3:26" x14ac:dyDescent="0.25">
      <c r="C494" s="4"/>
      <c r="D494" s="5"/>
      <c r="K494" s="4"/>
      <c r="L494" s="5"/>
    </row>
    <row r="495" spans="3:26" x14ac:dyDescent="0.25">
      <c r="C495" s="4"/>
      <c r="D495" s="5"/>
      <c r="K495" s="4"/>
      <c r="L495" s="5"/>
    </row>
    <row r="496" spans="3:26" x14ac:dyDescent="0.25">
      <c r="C496" s="4"/>
      <c r="D496" s="5"/>
      <c r="K496" s="4"/>
      <c r="L496" s="5"/>
    </row>
    <row r="497" spans="3:24" x14ac:dyDescent="0.25">
      <c r="C497" s="4"/>
      <c r="D497" s="5"/>
      <c r="K497" s="4"/>
      <c r="L497" s="5"/>
    </row>
    <row r="498" spans="3:24" x14ac:dyDescent="0.25">
      <c r="C498" s="4"/>
      <c r="D498" s="5"/>
      <c r="K498" s="4"/>
      <c r="L498" s="5"/>
    </row>
    <row r="499" spans="3:24" x14ac:dyDescent="0.25">
      <c r="C499" s="4"/>
      <c r="D499" s="5"/>
      <c r="K499" s="4"/>
      <c r="L499" s="5"/>
    </row>
    <row r="500" spans="3:24" x14ac:dyDescent="0.25">
      <c r="C500" s="4"/>
      <c r="D500" s="5"/>
      <c r="K500" s="4"/>
      <c r="L500" s="5"/>
    </row>
    <row r="501" spans="3:24" x14ac:dyDescent="0.25">
      <c r="C501" s="4"/>
      <c r="D501" s="5"/>
      <c r="K501" s="4"/>
      <c r="L501" s="5"/>
    </row>
    <row r="502" spans="3:24" x14ac:dyDescent="0.25">
      <c r="C502" s="4"/>
      <c r="K502" s="4"/>
      <c r="T502" s="4"/>
      <c r="U502" s="5"/>
    </row>
    <row r="503" spans="3:24" x14ac:dyDescent="0.25">
      <c r="C503" s="4"/>
      <c r="K503" s="4"/>
      <c r="T503" s="4"/>
      <c r="U503" s="5"/>
    </row>
    <row r="504" spans="3:24" x14ac:dyDescent="0.25">
      <c r="C504" s="4"/>
      <c r="D504" s="5"/>
      <c r="F504" s="7"/>
      <c r="K504" s="4"/>
      <c r="L504" s="5"/>
      <c r="Q504" s="7"/>
      <c r="T504" s="4"/>
      <c r="U504" s="5"/>
      <c r="X504" s="7"/>
    </row>
    <row r="505" spans="3:24" x14ac:dyDescent="0.25">
      <c r="C505" s="4"/>
      <c r="D505" s="5"/>
      <c r="F505" s="9"/>
      <c r="K505" s="4"/>
      <c r="L505" s="5"/>
      <c r="Q505" s="9"/>
      <c r="T505" s="4"/>
      <c r="U505" s="5"/>
      <c r="X505" s="5"/>
    </row>
    <row r="506" spans="3:24" x14ac:dyDescent="0.25">
      <c r="C506" s="4"/>
      <c r="D506" s="5"/>
      <c r="K506" s="4"/>
      <c r="L506" s="5"/>
      <c r="T506" s="4"/>
      <c r="U506" s="5"/>
    </row>
    <row r="507" spans="3:24" x14ac:dyDescent="0.25">
      <c r="C507" s="4"/>
      <c r="D507" s="5"/>
      <c r="K507" s="4"/>
      <c r="L507" s="5"/>
      <c r="T507" s="4"/>
      <c r="U507" s="5"/>
    </row>
    <row r="508" spans="3:24" x14ac:dyDescent="0.25">
      <c r="C508" s="4"/>
      <c r="D508" s="5"/>
      <c r="K508" s="4"/>
      <c r="L508" s="5"/>
      <c r="T508" s="4"/>
      <c r="U508" s="5"/>
    </row>
    <row r="509" spans="3:24" x14ac:dyDescent="0.25">
      <c r="C509" s="4"/>
      <c r="D509" s="5"/>
      <c r="K509" s="4"/>
      <c r="L509" s="5"/>
      <c r="T509" s="4"/>
      <c r="U509" s="5"/>
    </row>
    <row r="510" spans="3:24" x14ac:dyDescent="0.25">
      <c r="C510" s="4"/>
      <c r="K510" s="4"/>
      <c r="L510" s="5"/>
      <c r="T510" s="4"/>
      <c r="U510" s="5"/>
    </row>
    <row r="511" spans="3:24" x14ac:dyDescent="0.25">
      <c r="C511" s="4"/>
      <c r="K511" s="4"/>
      <c r="L511" s="5"/>
      <c r="T511" s="4"/>
      <c r="U511" s="5"/>
    </row>
    <row r="512" spans="3:24" x14ac:dyDescent="0.25">
      <c r="C512" s="4"/>
      <c r="K512" s="4"/>
      <c r="L512" s="5"/>
      <c r="T512" s="4"/>
      <c r="U512" s="5"/>
    </row>
    <row r="513" spans="3:25" x14ac:dyDescent="0.25">
      <c r="C513" s="4"/>
      <c r="L513" s="5"/>
      <c r="U513" s="5"/>
    </row>
    <row r="514" spans="3:25" x14ac:dyDescent="0.25">
      <c r="C514" s="4"/>
    </row>
    <row r="515" spans="3:25" x14ac:dyDescent="0.25">
      <c r="C515" s="4"/>
    </row>
    <row r="516" spans="3:25" x14ac:dyDescent="0.25">
      <c r="C516" s="4"/>
      <c r="D516" s="5"/>
      <c r="E516" s="7"/>
      <c r="I516" s="7"/>
      <c r="K516" s="4"/>
      <c r="L516" s="5"/>
      <c r="R516" s="7"/>
      <c r="T516" s="4"/>
      <c r="U516" s="5"/>
      <c r="Y516" s="7"/>
    </row>
    <row r="517" spans="3:25" x14ac:dyDescent="0.25">
      <c r="D517" s="5"/>
      <c r="K517" s="4"/>
      <c r="L517" s="5"/>
      <c r="R517" s="5"/>
      <c r="T517" s="4"/>
      <c r="U517" s="5"/>
    </row>
    <row r="518" spans="3:25" x14ac:dyDescent="0.25">
      <c r="D518" s="5"/>
      <c r="K518" s="4"/>
      <c r="L518" s="5"/>
      <c r="T518" s="4"/>
      <c r="U518" s="5"/>
    </row>
    <row r="519" spans="3:25" x14ac:dyDescent="0.25">
      <c r="D519" s="5"/>
      <c r="K519" s="4"/>
      <c r="L519" s="5"/>
      <c r="T519" s="4"/>
      <c r="U519" s="5"/>
    </row>
    <row r="520" spans="3:25" x14ac:dyDescent="0.25">
      <c r="D520" s="5"/>
      <c r="K520" s="4"/>
      <c r="L520" s="5"/>
      <c r="T520" s="4"/>
      <c r="U520" s="5"/>
    </row>
    <row r="521" spans="3:25" x14ac:dyDescent="0.25">
      <c r="D521" s="5"/>
      <c r="K521" s="4"/>
      <c r="L521" s="5"/>
      <c r="T521" s="4"/>
      <c r="U521" s="5"/>
    </row>
    <row r="522" spans="3:25" x14ac:dyDescent="0.25">
      <c r="D522" s="5"/>
      <c r="K522" s="4"/>
      <c r="L522" s="5"/>
      <c r="T522" s="4"/>
      <c r="U522" s="5"/>
    </row>
    <row r="523" spans="3:25" x14ac:dyDescent="0.25">
      <c r="D523" s="5"/>
      <c r="K523" s="4"/>
      <c r="L523" s="5"/>
      <c r="T523" s="4"/>
      <c r="U523" s="5"/>
    </row>
    <row r="524" spans="3:25" x14ac:dyDescent="0.25">
      <c r="D524" s="5"/>
      <c r="K524" s="4"/>
      <c r="L524" s="5"/>
      <c r="U524" s="5"/>
    </row>
    <row r="525" spans="3:25" x14ac:dyDescent="0.25">
      <c r="D525" s="5"/>
      <c r="L525" s="5"/>
    </row>
    <row r="526" spans="3:25" x14ac:dyDescent="0.25">
      <c r="D526" s="5"/>
    </row>
    <row r="531" spans="3:26" x14ac:dyDescent="0.25">
      <c r="L531" s="5"/>
      <c r="M531" s="7"/>
      <c r="N531" s="7"/>
    </row>
    <row r="532" spans="3:26" x14ac:dyDescent="0.25">
      <c r="C532" s="4"/>
      <c r="D532" s="5"/>
      <c r="E532" s="7"/>
      <c r="F532" s="8"/>
      <c r="G532" s="7"/>
      <c r="L532" s="5"/>
      <c r="O532" s="7"/>
    </row>
    <row r="533" spans="3:26" x14ac:dyDescent="0.25">
      <c r="C533" s="4"/>
      <c r="D533" s="5"/>
      <c r="L533" s="5"/>
    </row>
    <row r="534" spans="3:26" x14ac:dyDescent="0.25">
      <c r="C534" s="4"/>
      <c r="D534" s="5"/>
      <c r="K534" s="4"/>
      <c r="L534" s="5"/>
    </row>
    <row r="535" spans="3:26" x14ac:dyDescent="0.25">
      <c r="C535" s="4"/>
      <c r="D535" s="5"/>
      <c r="L535" s="5"/>
    </row>
    <row r="536" spans="3:26" x14ac:dyDescent="0.25">
      <c r="C536" s="6"/>
      <c r="D536" s="11"/>
      <c r="E536" s="2"/>
      <c r="F536" s="2"/>
      <c r="G536" s="2"/>
      <c r="H536" s="2"/>
      <c r="I536" s="2"/>
      <c r="J536" s="2"/>
      <c r="K536" s="2"/>
      <c r="L536" s="2"/>
      <c r="M536" s="2"/>
      <c r="N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3:26" x14ac:dyDescent="0.25">
      <c r="C537" s="6"/>
      <c r="D537" s="1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3:26" x14ac:dyDescent="0.25">
      <c r="C538" s="6"/>
      <c r="D538" s="1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3:26" x14ac:dyDescent="0.25">
      <c r="C539" s="6"/>
      <c r="D539" s="1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3:26" x14ac:dyDescent="0.25">
      <c r="C540" s="6"/>
      <c r="D540" s="1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3:26" x14ac:dyDescent="0.25">
      <c r="C541" s="6"/>
      <c r="D541" s="1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3:26" x14ac:dyDescent="0.25">
      <c r="C542" s="6"/>
      <c r="D542" s="1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3:26" x14ac:dyDescent="0.25">
      <c r="C543" s="2"/>
      <c r="D543" s="1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3"/>
      <c r="P543" s="12"/>
      <c r="Q543" s="2"/>
      <c r="R543" s="2"/>
      <c r="S543" s="2"/>
      <c r="T543" s="2"/>
      <c r="U543" s="2"/>
      <c r="V543" s="2"/>
      <c r="W543" s="12"/>
      <c r="X543" s="2"/>
      <c r="Y543" s="2"/>
      <c r="Z543" s="2"/>
    </row>
    <row r="544" spans="3:26" x14ac:dyDescent="0.25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1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3:26" x14ac:dyDescent="0.2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1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3:26" x14ac:dyDescent="0.25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1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3:26" x14ac:dyDescent="0.25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1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3:26" x14ac:dyDescent="0.25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1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3:26" x14ac:dyDescent="0.25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1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3:26" x14ac:dyDescent="0.25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4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3:26" x14ac:dyDescent="0.25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1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3:26" x14ac:dyDescent="0.25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1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3:26" x14ac:dyDescent="0.25">
      <c r="C553" s="15"/>
      <c r="D553" s="16"/>
      <c r="E553" s="16"/>
      <c r="F553" s="2"/>
      <c r="G553" s="2"/>
      <c r="H553" s="2"/>
      <c r="I553" s="2"/>
      <c r="J553" s="2"/>
      <c r="K553" s="2"/>
      <c r="L553" s="2"/>
      <c r="M553" s="2"/>
      <c r="N553" s="2"/>
      <c r="O553" s="14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3:26" x14ac:dyDescent="0.25">
      <c r="C554" s="1"/>
      <c r="D554" s="17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11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3:26" x14ac:dyDescent="0.25">
      <c r="C555" s="1"/>
      <c r="D555" s="17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14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3:26" x14ac:dyDescent="0.25">
      <c r="C556" s="1"/>
      <c r="D556" s="17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3:26" x14ac:dyDescent="0.25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1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3:26" x14ac:dyDescent="0.25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1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3:26" x14ac:dyDescent="0.25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1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3:26" x14ac:dyDescent="0.25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1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3:26" x14ac:dyDescent="0.25">
      <c r="C561" s="15"/>
      <c r="D561" s="1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3:26" x14ac:dyDescent="0.25">
      <c r="C562" s="1"/>
      <c r="D562" s="17"/>
      <c r="E562" s="2"/>
      <c r="F562" s="3"/>
      <c r="G562" s="2"/>
      <c r="H562" s="2"/>
      <c r="I562" s="2"/>
      <c r="J562" s="2"/>
      <c r="K562" s="2"/>
      <c r="L562" s="2"/>
      <c r="M562" s="6"/>
      <c r="N562" s="6"/>
      <c r="O562" s="2"/>
      <c r="P562" s="1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3:26" x14ac:dyDescent="0.25">
      <c r="C563" s="1"/>
      <c r="D563" s="17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11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3:26" x14ac:dyDescent="0.25">
      <c r="C564" s="1"/>
      <c r="D564" s="17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11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3:26" x14ac:dyDescent="0.2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1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3:26" x14ac:dyDescent="0.25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3:26" x14ac:dyDescent="0.25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3:26" x14ac:dyDescent="0.25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1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3:26" x14ac:dyDescent="0.25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1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3:26" x14ac:dyDescent="0.25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1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3:26" x14ac:dyDescent="0.25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1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3:26" x14ac:dyDescent="0.25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3:26" x14ac:dyDescent="0.25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3:26" x14ac:dyDescent="0.25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3:26" x14ac:dyDescent="0.2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3:26" x14ac:dyDescent="0.25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3:26" x14ac:dyDescent="0.25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3:26" x14ac:dyDescent="0.25"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3:26" x14ac:dyDescent="0.25">
      <c r="C579" s="1"/>
      <c r="D579" s="17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3:26" x14ac:dyDescent="0.25">
      <c r="C580" s="1"/>
      <c r="D580" s="17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3:26" x14ac:dyDescent="0.25">
      <c r="C581" s="1"/>
      <c r="D581" s="17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11"/>
      <c r="P581" s="2"/>
      <c r="Q581" s="12"/>
      <c r="R581" s="2"/>
      <c r="S581" s="2"/>
      <c r="T581" s="2"/>
      <c r="U581" s="2"/>
      <c r="V581" s="2"/>
      <c r="W581" s="2"/>
      <c r="X581" s="2"/>
      <c r="Y581" s="2"/>
      <c r="Z581" s="2"/>
    </row>
    <row r="582" spans="3:26" x14ac:dyDescent="0.25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1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3:26" x14ac:dyDescent="0.25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1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3:26" x14ac:dyDescent="0.25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1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3:26" x14ac:dyDescent="0.2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1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3:26" x14ac:dyDescent="0.25"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1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3:26" x14ac:dyDescent="0.25">
      <c r="C587" s="1"/>
      <c r="D587" s="17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11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3:26" x14ac:dyDescent="0.25">
      <c r="C588" s="1"/>
      <c r="D588" s="17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11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3:26" x14ac:dyDescent="0.25">
      <c r="C589" s="1"/>
      <c r="D589" s="17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11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3:26" x14ac:dyDescent="0.25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3:26" x14ac:dyDescent="0.25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3:26" x14ac:dyDescent="0.25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3:26" x14ac:dyDescent="0.25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3:26" x14ac:dyDescent="0.25"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2"/>
      <c r="R594" s="2"/>
      <c r="S594" s="2"/>
      <c r="T594" s="2"/>
      <c r="U594" s="2"/>
      <c r="V594" s="2"/>
      <c r="W594" s="2"/>
      <c r="X594" s="2"/>
      <c r="Y594" s="2"/>
      <c r="Z594" s="2"/>
    </row>
    <row r="595" spans="3:26" x14ac:dyDescent="0.25">
      <c r="C595" s="1"/>
      <c r="D595" s="17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11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3:26" x14ac:dyDescent="0.25">
      <c r="C596" s="1"/>
      <c r="D596" s="17"/>
      <c r="E596" s="2"/>
      <c r="F596" s="3"/>
      <c r="G596" s="10"/>
      <c r="H596" s="2"/>
      <c r="I596" s="2"/>
      <c r="J596" s="2"/>
      <c r="K596" s="2"/>
      <c r="L596" s="2"/>
      <c r="M596" s="2"/>
      <c r="N596" s="2"/>
      <c r="O596" s="11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3:26" x14ac:dyDescent="0.25">
      <c r="C597" s="1"/>
      <c r="D597" s="17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11"/>
      <c r="P597" s="2"/>
      <c r="Q597" s="2"/>
      <c r="R597" s="2"/>
      <c r="S597" s="12"/>
      <c r="T597" s="2"/>
      <c r="U597" s="2"/>
      <c r="V597" s="2"/>
      <c r="W597" s="2"/>
      <c r="X597" s="2"/>
      <c r="Y597" s="2"/>
      <c r="Z597" s="2"/>
    </row>
    <row r="598" spans="3:26" x14ac:dyDescent="0.25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1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3:26" x14ac:dyDescent="0.25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18"/>
      <c r="N599" s="18"/>
      <c r="O599" s="11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3:26" x14ac:dyDescent="0.25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1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3:26" x14ac:dyDescent="0.25"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1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3:26" x14ac:dyDescent="0.25">
      <c r="C602" s="1"/>
      <c r="D602" s="17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11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3:26" x14ac:dyDescent="0.25">
      <c r="C603" s="1"/>
      <c r="D603" s="17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11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3:26" x14ac:dyDescent="0.25">
      <c r="C604" s="1"/>
      <c r="D604" s="17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11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3:26" x14ac:dyDescent="0.2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1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3:26" x14ac:dyDescent="0.25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1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3:26" x14ac:dyDescent="0.25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3:26" x14ac:dyDescent="0.25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3:26" x14ac:dyDescent="0.25"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1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3:26" x14ac:dyDescent="0.25">
      <c r="C610" s="1"/>
      <c r="D610" s="17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11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3:26" x14ac:dyDescent="0.25">
      <c r="C611" s="1"/>
      <c r="D611" s="17"/>
      <c r="E611" s="2"/>
      <c r="F611" s="3"/>
      <c r="G611" s="10"/>
      <c r="H611" s="2"/>
      <c r="I611" s="2"/>
      <c r="J611" s="2"/>
      <c r="K611" s="2"/>
      <c r="L611" s="2"/>
      <c r="M611" s="2"/>
      <c r="N611" s="2"/>
      <c r="O611" s="11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3:26" x14ac:dyDescent="0.25">
      <c r="C612" s="1"/>
      <c r="D612" s="17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11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3:26" x14ac:dyDescent="0.25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1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3:26" x14ac:dyDescent="0.25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1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3:26" x14ac:dyDescent="0.2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1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3:26" x14ac:dyDescent="0.25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3:26" x14ac:dyDescent="0.25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3:26" x14ac:dyDescent="0.25"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1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3:26" x14ac:dyDescent="0.25">
      <c r="C619" s="1"/>
      <c r="D619" s="17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11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3:26" x14ac:dyDescent="0.25">
      <c r="C620" s="1"/>
      <c r="D620" s="17"/>
      <c r="E620" s="2"/>
      <c r="F620" s="3"/>
      <c r="G620" s="10"/>
      <c r="H620" s="2"/>
      <c r="I620" s="2"/>
      <c r="J620" s="2"/>
      <c r="K620" s="2"/>
      <c r="L620" s="2"/>
      <c r="M620" s="2"/>
      <c r="N620" s="2"/>
      <c r="O620" s="11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3:26" x14ac:dyDescent="0.25">
      <c r="C621" s="1"/>
      <c r="D621" s="17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11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3:26" x14ac:dyDescent="0.25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1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3:26" x14ac:dyDescent="0.25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1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3:26" x14ac:dyDescent="0.25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1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3:26" x14ac:dyDescent="0.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1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3:26" x14ac:dyDescent="0.25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1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3:26" x14ac:dyDescent="0.25"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1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3:26" x14ac:dyDescent="0.25">
      <c r="C628" s="1"/>
      <c r="D628" s="17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11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3:26" x14ac:dyDescent="0.25">
      <c r="C629" s="1"/>
      <c r="D629" s="17"/>
      <c r="E629" s="2"/>
      <c r="F629" s="3"/>
      <c r="G629" s="10"/>
      <c r="H629" s="2"/>
      <c r="I629" s="19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3:26" x14ac:dyDescent="0.25">
      <c r="C630" s="1"/>
      <c r="D630" s="17"/>
      <c r="E630" s="2"/>
      <c r="F630" s="3"/>
      <c r="G630" s="2"/>
      <c r="H630" s="2"/>
      <c r="I630" s="19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3:26" x14ac:dyDescent="0.25">
      <c r="C631" s="2"/>
      <c r="D631" s="2"/>
      <c r="E631" s="2"/>
      <c r="F631" s="2"/>
      <c r="G631" s="2"/>
      <c r="H631" s="2"/>
      <c r="I631" s="19"/>
      <c r="J631" s="2"/>
      <c r="K631" s="2"/>
      <c r="L631" s="2"/>
      <c r="M631" s="2"/>
      <c r="N631" s="2"/>
      <c r="O631" s="11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3:26" x14ac:dyDescent="0.25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1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3:26" x14ac:dyDescent="0.25"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1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3:26" x14ac:dyDescent="0.25">
      <c r="C634" s="1"/>
      <c r="D634" s="17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11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3:26" x14ac:dyDescent="0.25">
      <c r="C635" s="1"/>
      <c r="D635" s="17"/>
      <c r="E635" s="2"/>
      <c r="F635" s="3"/>
      <c r="G635" s="10"/>
      <c r="H635" s="2"/>
      <c r="I635" s="2"/>
      <c r="J635" s="2"/>
      <c r="K635" s="2"/>
      <c r="L635" s="2"/>
      <c r="M635" s="2"/>
      <c r="N635" s="2"/>
      <c r="O635" s="11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3:26" x14ac:dyDescent="0.25">
      <c r="C636" s="1"/>
      <c r="D636" s="17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11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3:26" x14ac:dyDescent="0.25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1"/>
      <c r="P637" s="2"/>
      <c r="Q637" s="2"/>
      <c r="R637" s="18"/>
      <c r="S637" s="2"/>
      <c r="T637" s="2"/>
      <c r="U637" s="2"/>
      <c r="V637" s="2"/>
      <c r="W637" s="2"/>
      <c r="X637" s="2"/>
      <c r="Y637" s="2"/>
      <c r="Z637" s="2"/>
    </row>
    <row r="638" spans="3:26" x14ac:dyDescent="0.25">
      <c r="C638" s="2"/>
      <c r="D638" s="2"/>
      <c r="E638" s="2"/>
      <c r="F638" s="2"/>
      <c r="G638" s="2"/>
      <c r="H638" s="19"/>
      <c r="I638" s="2"/>
      <c r="J638" s="2"/>
      <c r="K638" s="2"/>
      <c r="L638" s="2"/>
      <c r="M638" s="2"/>
      <c r="N638" s="2"/>
      <c r="O638" s="11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3:26" x14ac:dyDescent="0.25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11"/>
      <c r="N639" s="11"/>
      <c r="O639" s="11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3:26" x14ac:dyDescent="0.25"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1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3:26" x14ac:dyDescent="0.25">
      <c r="C641" s="1"/>
      <c r="D641" s="17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11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3:26" x14ac:dyDescent="0.25">
      <c r="C642" s="1"/>
      <c r="D642" s="17"/>
      <c r="E642" s="2"/>
      <c r="F642" s="3"/>
      <c r="G642" s="10"/>
      <c r="H642" s="2"/>
      <c r="I642" s="2"/>
      <c r="J642" s="2"/>
      <c r="K642" s="2"/>
      <c r="L642" s="2"/>
      <c r="M642" s="2"/>
      <c r="N642" s="2"/>
      <c r="O642" s="11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3:26" x14ac:dyDescent="0.25">
      <c r="C643" s="1"/>
      <c r="D643" s="17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3:26" x14ac:dyDescent="0.25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1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3:26" x14ac:dyDescent="0.2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1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3:26" ht="14.25" customHeight="1" x14ac:dyDescent="0.25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11"/>
      <c r="N646" s="11"/>
      <c r="O646" s="11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3:26" x14ac:dyDescent="0.25"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1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3:26" x14ac:dyDescent="0.25">
      <c r="C648" s="1"/>
      <c r="D648" s="17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11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3:26" x14ac:dyDescent="0.25">
      <c r="C649" s="1"/>
      <c r="D649" s="17"/>
      <c r="E649" s="2"/>
      <c r="F649" s="3"/>
      <c r="G649" s="1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3:26" x14ac:dyDescent="0.25">
      <c r="C650" s="1"/>
      <c r="D650" s="17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3:26" x14ac:dyDescent="0.25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1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3:26" x14ac:dyDescent="0.25">
      <c r="C652" s="2"/>
      <c r="D652" s="2"/>
      <c r="E652" s="2"/>
      <c r="F652" s="2"/>
      <c r="G652" s="2"/>
      <c r="H652" s="2"/>
      <c r="I652" s="2"/>
      <c r="J652" s="2"/>
      <c r="K652" s="2"/>
      <c r="L652" s="20"/>
      <c r="M652" s="11"/>
      <c r="N652" s="11"/>
      <c r="O652" s="11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3:26" x14ac:dyDescent="0.25">
      <c r="C653" s="2"/>
      <c r="D653" s="2"/>
      <c r="E653" s="2"/>
      <c r="F653" s="2"/>
      <c r="G653" s="2"/>
      <c r="H653" s="2"/>
      <c r="I653" s="2"/>
      <c r="J653" s="2"/>
      <c r="K653" s="2"/>
      <c r="L653" s="20"/>
      <c r="M653" s="11"/>
      <c r="N653" s="11"/>
      <c r="O653" s="11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3:26" x14ac:dyDescent="0.25">
      <c r="C654" s="1"/>
      <c r="D654" s="2"/>
      <c r="E654" s="2"/>
      <c r="F654" s="2"/>
      <c r="G654" s="10"/>
      <c r="H654" s="2"/>
      <c r="I654" s="2"/>
      <c r="J654" s="2"/>
      <c r="K654" s="2"/>
      <c r="L654" s="2"/>
      <c r="M654" s="2"/>
      <c r="N654" s="2"/>
      <c r="O654" s="11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3:26" x14ac:dyDescent="0.25">
      <c r="C655" s="1"/>
      <c r="D655" s="17"/>
      <c r="E655" s="2"/>
      <c r="F655" s="3"/>
      <c r="G655" s="10"/>
      <c r="H655" s="2"/>
      <c r="I655" s="2"/>
      <c r="J655" s="2"/>
      <c r="K655" s="2"/>
      <c r="L655" s="2"/>
      <c r="M655" s="2"/>
      <c r="N655" s="2"/>
      <c r="O655" s="11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3:26" x14ac:dyDescent="0.25">
      <c r="C656" s="1"/>
      <c r="D656" s="17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11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3:26" x14ac:dyDescent="0.25">
      <c r="C657" s="1"/>
      <c r="D657" s="17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11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3:26" x14ac:dyDescent="0.25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1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3:26" x14ac:dyDescent="0.25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1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3:26" x14ac:dyDescent="0.25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3:26" x14ac:dyDescent="0.25"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3:26" x14ac:dyDescent="0.25">
      <c r="C662" s="1"/>
      <c r="D662" s="17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3:26" x14ac:dyDescent="0.25">
      <c r="C663" s="1"/>
      <c r="D663" s="17"/>
      <c r="E663" s="2"/>
      <c r="F663" s="3"/>
      <c r="G663" s="10"/>
      <c r="H663" s="2"/>
      <c r="I663" s="2"/>
      <c r="J663" s="2"/>
      <c r="K663" s="2"/>
      <c r="L663" s="2"/>
      <c r="M663" s="2"/>
      <c r="N663" s="2"/>
      <c r="O663" s="11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3:26" x14ac:dyDescent="0.25">
      <c r="C664" s="1"/>
      <c r="D664" s="17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11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3:26" x14ac:dyDescent="0.2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1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3:26" x14ac:dyDescent="0.25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1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3:26" x14ac:dyDescent="0.25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1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3:26" x14ac:dyDescent="0.25">
      <c r="C668" s="1"/>
      <c r="D668" s="2"/>
      <c r="E668" s="2"/>
      <c r="F668" s="2"/>
      <c r="G668" s="2"/>
      <c r="H668" s="2"/>
      <c r="I668" s="2"/>
      <c r="J668" s="2"/>
      <c r="K668" s="2"/>
      <c r="L668" s="20"/>
      <c r="M668" s="2"/>
      <c r="N668" s="2"/>
      <c r="O668" s="11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3:26" x14ac:dyDescent="0.25">
      <c r="C669" s="1"/>
      <c r="D669" s="17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11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3:26" x14ac:dyDescent="0.25">
      <c r="C670" s="1"/>
      <c r="D670" s="17"/>
      <c r="E670" s="2"/>
      <c r="F670" s="3"/>
      <c r="G670" s="10"/>
      <c r="H670" s="2"/>
      <c r="I670" s="2"/>
      <c r="J670" s="2"/>
      <c r="K670" s="2"/>
      <c r="L670" s="2"/>
      <c r="M670" s="2"/>
      <c r="N670" s="2"/>
      <c r="O670" s="11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3:26" x14ac:dyDescent="0.25">
      <c r="C671" s="1"/>
      <c r="D671" s="17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11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3:26" x14ac:dyDescent="0.25">
      <c r="C672" s="2"/>
      <c r="D672" s="17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11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3:26" x14ac:dyDescent="0.25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1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3:26" x14ac:dyDescent="0.25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1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3:26" x14ac:dyDescent="0.2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1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3:26" x14ac:dyDescent="0.25"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1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3:26" x14ac:dyDescent="0.25">
      <c r="C677" s="1"/>
      <c r="D677" s="17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3:26" x14ac:dyDescent="0.25">
      <c r="C678" s="1"/>
      <c r="D678" s="17"/>
      <c r="E678" s="2"/>
      <c r="F678" s="3"/>
      <c r="G678" s="1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3:26" x14ac:dyDescent="0.25">
      <c r="C679" s="1"/>
      <c r="D679" s="17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11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3:26" x14ac:dyDescent="0.25">
      <c r="C680" s="2"/>
      <c r="D680" s="17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11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3:26" x14ac:dyDescent="0.25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1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3:26" x14ac:dyDescent="0.25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1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3:26" x14ac:dyDescent="0.25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1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3:26" x14ac:dyDescent="0.25"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1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3:26" x14ac:dyDescent="0.25">
      <c r="C685" s="1"/>
      <c r="D685" s="17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3:26" x14ac:dyDescent="0.25">
      <c r="C686" s="1"/>
      <c r="D686" s="17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3:26" x14ac:dyDescent="0.25">
      <c r="C687" s="1"/>
      <c r="D687" s="17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3:26" x14ac:dyDescent="0.25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1"/>
      <c r="P688" s="2"/>
      <c r="Q688" s="2"/>
      <c r="R688" s="2"/>
      <c r="S688" s="2"/>
      <c r="T688" s="2"/>
      <c r="U688" s="11"/>
      <c r="V688" s="2"/>
      <c r="W688" s="2"/>
      <c r="X688" s="2"/>
      <c r="Y688" s="2"/>
      <c r="Z688" s="2"/>
    </row>
    <row r="689" spans="3:26" x14ac:dyDescent="0.25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1"/>
      <c r="P689" s="2"/>
      <c r="Q689" s="2"/>
      <c r="R689" s="2"/>
      <c r="S689" s="2"/>
      <c r="T689" s="2"/>
      <c r="U689" s="11"/>
      <c r="V689" s="2"/>
      <c r="W689" s="2"/>
      <c r="X689" s="2"/>
      <c r="Y689" s="2"/>
      <c r="Z689" s="2"/>
    </row>
    <row r="690" spans="3:26" x14ac:dyDescent="0.25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1"/>
      <c r="P690" s="2"/>
      <c r="Q690" s="21"/>
      <c r="R690" s="2"/>
      <c r="S690" s="2"/>
      <c r="T690" s="2"/>
      <c r="U690" s="11"/>
      <c r="V690" s="2"/>
      <c r="W690" s="2"/>
      <c r="X690" s="2"/>
      <c r="Y690" s="2"/>
      <c r="Z690" s="2"/>
    </row>
    <row r="691" spans="3:26" x14ac:dyDescent="0.25"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1"/>
      <c r="P691" s="2"/>
      <c r="Q691" s="21"/>
      <c r="R691" s="2"/>
      <c r="S691" s="2"/>
      <c r="T691" s="2"/>
      <c r="U691" s="11"/>
      <c r="V691" s="2"/>
      <c r="W691" s="2"/>
      <c r="X691" s="2"/>
      <c r="Y691" s="2"/>
      <c r="Z691" s="2"/>
    </row>
    <row r="692" spans="3:26" x14ac:dyDescent="0.25">
      <c r="C692" s="1"/>
      <c r="D692" s="17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11"/>
      <c r="P692" s="2"/>
      <c r="Q692" s="21"/>
      <c r="R692" s="2"/>
      <c r="S692" s="2"/>
      <c r="T692" s="2"/>
      <c r="U692" s="11"/>
      <c r="V692" s="2"/>
      <c r="W692" s="2"/>
      <c r="X692" s="2"/>
      <c r="Y692" s="2"/>
      <c r="Z692" s="2"/>
    </row>
    <row r="693" spans="3:26" x14ac:dyDescent="0.25">
      <c r="C693" s="1"/>
      <c r="D693" s="17"/>
      <c r="E693" s="2"/>
      <c r="F693" s="3"/>
      <c r="G693" s="10"/>
      <c r="H693" s="2"/>
      <c r="I693" s="2"/>
      <c r="J693" s="2"/>
      <c r="K693" s="2"/>
      <c r="L693" s="2"/>
      <c r="M693" s="2"/>
      <c r="N693" s="2"/>
      <c r="O693" s="11"/>
      <c r="P693" s="2"/>
      <c r="Q693" s="21"/>
      <c r="R693" s="2"/>
      <c r="S693" s="20"/>
      <c r="T693" s="2"/>
      <c r="U693" s="11"/>
      <c r="V693" s="2"/>
      <c r="W693" s="2"/>
      <c r="X693" s="2"/>
      <c r="Y693" s="2"/>
      <c r="Z693" s="2"/>
    </row>
    <row r="694" spans="3:26" x14ac:dyDescent="0.25">
      <c r="C694" s="1"/>
      <c r="D694" s="17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11"/>
      <c r="P694" s="2"/>
      <c r="Q694" s="21"/>
      <c r="R694" s="2"/>
      <c r="S694" s="2"/>
      <c r="T694" s="2"/>
      <c r="U694" s="11"/>
      <c r="V694" s="2"/>
      <c r="W694" s="2"/>
      <c r="X694" s="2"/>
      <c r="Y694" s="2"/>
      <c r="Z694" s="2"/>
    </row>
    <row r="695" spans="3:26" x14ac:dyDescent="0.25">
      <c r="C695" s="2"/>
      <c r="D695" s="17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11"/>
      <c r="P695" s="2"/>
      <c r="Q695" s="21"/>
      <c r="R695" s="2"/>
      <c r="S695" s="2"/>
      <c r="T695" s="2"/>
      <c r="U695" s="11"/>
      <c r="V695" s="2"/>
      <c r="W695" s="2"/>
      <c r="X695" s="2"/>
      <c r="Y695" s="2"/>
      <c r="Z695" s="2"/>
    </row>
    <row r="696" spans="3:26" x14ac:dyDescent="0.25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1"/>
      <c r="P696" s="2"/>
      <c r="Q696" s="2"/>
      <c r="R696" s="2"/>
      <c r="S696" s="2"/>
      <c r="T696" s="2"/>
      <c r="U696" s="11"/>
      <c r="V696" s="2"/>
      <c r="W696" s="2"/>
      <c r="X696" s="2"/>
      <c r="Y696" s="2"/>
      <c r="Z696" s="2"/>
    </row>
    <row r="697" spans="3:26" x14ac:dyDescent="0.25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1"/>
      <c r="P697" s="2"/>
      <c r="Q697" s="2"/>
      <c r="R697" s="2"/>
      <c r="S697" s="2"/>
      <c r="T697" s="2"/>
      <c r="U697" s="11"/>
      <c r="V697" s="2"/>
      <c r="W697" s="2"/>
      <c r="X697" s="2"/>
      <c r="Y697" s="2"/>
      <c r="Z697" s="2"/>
    </row>
    <row r="698" spans="3:26" x14ac:dyDescent="0.25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11"/>
      <c r="V698" s="2"/>
      <c r="W698" s="2"/>
      <c r="X698" s="2"/>
      <c r="Y698" s="2"/>
      <c r="Z698" s="2"/>
    </row>
    <row r="699" spans="3:26" x14ac:dyDescent="0.25"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11"/>
      <c r="V699" s="2"/>
      <c r="W699" s="2"/>
      <c r="X699" s="2"/>
      <c r="Y699" s="2"/>
      <c r="Z699" s="2"/>
    </row>
    <row r="700" spans="3:26" x14ac:dyDescent="0.25">
      <c r="C700" s="1"/>
      <c r="D700" s="6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3:26" x14ac:dyDescent="0.25">
      <c r="C701" s="1"/>
      <c r="D701" s="6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11"/>
      <c r="U701" s="2"/>
      <c r="V701" s="2"/>
      <c r="W701" s="2"/>
      <c r="X701" s="2"/>
      <c r="Y701" s="2"/>
      <c r="Z701" s="2"/>
    </row>
    <row r="702" spans="3:26" x14ac:dyDescent="0.25">
      <c r="C702" s="1"/>
      <c r="D702" s="6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11"/>
      <c r="U702" s="2"/>
      <c r="V702" s="2"/>
      <c r="W702" s="2"/>
      <c r="X702" s="2"/>
      <c r="Y702" s="2"/>
      <c r="Z702" s="2"/>
    </row>
    <row r="703" spans="3:26" x14ac:dyDescent="0.25">
      <c r="C703" s="2"/>
      <c r="D703" s="6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11"/>
      <c r="U703" s="2"/>
      <c r="V703" s="2"/>
      <c r="W703" s="2"/>
      <c r="X703" s="2"/>
      <c r="Y703" s="2"/>
      <c r="Z703" s="2"/>
    </row>
    <row r="704" spans="3:26" x14ac:dyDescent="0.25">
      <c r="C704" s="2"/>
      <c r="D704" s="6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11"/>
      <c r="U704" s="2"/>
      <c r="V704" s="2"/>
      <c r="W704" s="2"/>
      <c r="X704" s="2"/>
      <c r="Y704" s="2"/>
      <c r="Z704" s="2"/>
    </row>
    <row r="705" spans="3:26" x14ac:dyDescent="0.2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11"/>
      <c r="U705" s="2"/>
      <c r="V705" s="2"/>
      <c r="W705" s="2"/>
      <c r="X705" s="2"/>
      <c r="Y705" s="2"/>
      <c r="Z705" s="2"/>
    </row>
    <row r="706" spans="3:26" x14ac:dyDescent="0.25">
      <c r="C706" s="1"/>
      <c r="D706" s="2"/>
      <c r="E706" s="2"/>
      <c r="F706" s="2"/>
      <c r="G706" s="2"/>
      <c r="H706" s="2"/>
      <c r="I706" s="2"/>
      <c r="J706" s="11"/>
      <c r="K706" s="2"/>
      <c r="L706" s="2"/>
      <c r="M706" s="2"/>
      <c r="N706" s="2"/>
      <c r="O706" s="2"/>
      <c r="P706" s="2"/>
      <c r="Q706" s="2"/>
      <c r="R706" s="2"/>
      <c r="S706" s="2"/>
      <c r="T706" s="11"/>
      <c r="U706" s="2"/>
      <c r="V706" s="2"/>
      <c r="W706" s="2"/>
      <c r="X706" s="2"/>
      <c r="Y706" s="2"/>
      <c r="Z706" s="2"/>
    </row>
    <row r="707" spans="3:26" x14ac:dyDescent="0.25">
      <c r="C707" s="1"/>
      <c r="D707" s="6"/>
      <c r="E707" s="2"/>
      <c r="F707" s="3"/>
      <c r="G707" s="2"/>
      <c r="H707" s="2"/>
      <c r="I707" s="2"/>
      <c r="J707" s="6"/>
      <c r="K707" s="2"/>
      <c r="L707" s="2"/>
      <c r="M707" s="2"/>
      <c r="N707" s="2"/>
      <c r="O707" s="2"/>
      <c r="P707" s="2"/>
      <c r="Q707" s="2"/>
      <c r="R707" s="2"/>
      <c r="S707" s="2"/>
      <c r="T707" s="11"/>
      <c r="U707" s="2"/>
      <c r="V707" s="2"/>
      <c r="W707" s="2"/>
      <c r="X707" s="2"/>
      <c r="Y707" s="2"/>
      <c r="Z707" s="2"/>
    </row>
    <row r="708" spans="3:26" x14ac:dyDescent="0.25">
      <c r="C708" s="1"/>
      <c r="D708" s="6"/>
      <c r="E708" s="2"/>
      <c r="F708" s="3"/>
      <c r="G708" s="10"/>
      <c r="H708" s="2"/>
      <c r="I708" s="2"/>
      <c r="J708" s="22"/>
      <c r="K708" s="2"/>
      <c r="L708" s="2"/>
      <c r="M708" s="2"/>
      <c r="N708" s="2"/>
      <c r="O708" s="2"/>
      <c r="P708" s="2"/>
      <c r="Q708" s="2"/>
      <c r="R708" s="2"/>
      <c r="S708" s="2"/>
      <c r="T708" s="11"/>
      <c r="U708" s="2"/>
      <c r="V708" s="2"/>
      <c r="W708" s="2"/>
      <c r="X708" s="2"/>
      <c r="Y708" s="2"/>
      <c r="Z708" s="2"/>
    </row>
    <row r="709" spans="3:26" x14ac:dyDescent="0.25">
      <c r="C709" s="1"/>
      <c r="D709" s="6"/>
      <c r="E709" s="2"/>
      <c r="F709" s="3"/>
      <c r="G709" s="2"/>
      <c r="H709" s="2"/>
      <c r="I709" s="2"/>
      <c r="J709" s="6"/>
      <c r="K709" s="2"/>
      <c r="L709" s="2"/>
      <c r="M709" s="11"/>
      <c r="N709" s="11"/>
      <c r="O709" s="2"/>
      <c r="P709" s="2"/>
      <c r="Q709" s="2"/>
      <c r="R709" s="2"/>
      <c r="S709" s="2"/>
      <c r="T709" s="11"/>
      <c r="U709" s="2"/>
      <c r="V709" s="2"/>
      <c r="W709" s="2"/>
      <c r="X709" s="2"/>
      <c r="Y709" s="2"/>
      <c r="Z709" s="2"/>
    </row>
    <row r="710" spans="3:26" x14ac:dyDescent="0.25">
      <c r="C710" s="2"/>
      <c r="D710" s="6"/>
      <c r="E710" s="2"/>
      <c r="F710" s="3"/>
      <c r="G710" s="2"/>
      <c r="H710" s="2"/>
      <c r="I710" s="2"/>
      <c r="J710" s="22"/>
      <c r="K710" s="2"/>
      <c r="L710" s="2"/>
      <c r="M710" s="11"/>
      <c r="N710" s="11"/>
      <c r="O710" s="2"/>
      <c r="P710" s="2"/>
      <c r="Q710" s="2"/>
      <c r="R710" s="2"/>
      <c r="S710" s="2"/>
      <c r="T710" s="11"/>
      <c r="U710" s="2"/>
      <c r="V710" s="2"/>
      <c r="W710" s="2"/>
      <c r="X710" s="2"/>
      <c r="Y710" s="2"/>
      <c r="Z710" s="2"/>
    </row>
    <row r="711" spans="3:26" x14ac:dyDescent="0.25">
      <c r="C711" s="2"/>
      <c r="D711" s="2"/>
      <c r="E711" s="2"/>
      <c r="F711" s="2"/>
      <c r="G711" s="2"/>
      <c r="H711" s="2"/>
      <c r="I711" s="2"/>
      <c r="J711" s="11"/>
      <c r="K711" s="2"/>
      <c r="L711" s="2"/>
      <c r="M711" s="11"/>
      <c r="N711" s="11"/>
      <c r="O711" s="2"/>
      <c r="P711" s="2"/>
      <c r="Q711" s="2"/>
      <c r="R711" s="2"/>
      <c r="S711" s="2"/>
      <c r="T711" s="11"/>
      <c r="U711" s="2"/>
      <c r="V711" s="2"/>
      <c r="W711" s="2"/>
      <c r="X711" s="2"/>
      <c r="Y711" s="2"/>
      <c r="Z711" s="2"/>
    </row>
    <row r="712" spans="3:26" x14ac:dyDescent="0.25">
      <c r="C712" s="2"/>
      <c r="D712" s="2"/>
      <c r="E712" s="2"/>
      <c r="F712" s="2"/>
      <c r="G712" s="2"/>
      <c r="H712" s="2"/>
      <c r="I712" s="2"/>
      <c r="J712" s="11"/>
      <c r="K712" s="2"/>
      <c r="L712" s="2"/>
      <c r="M712" s="11"/>
      <c r="N712" s="11"/>
      <c r="O712" s="2"/>
      <c r="P712" s="21"/>
      <c r="Q712" s="11"/>
      <c r="R712" s="2"/>
      <c r="S712" s="2"/>
      <c r="T712" s="11"/>
      <c r="U712" s="2"/>
      <c r="V712" s="2"/>
      <c r="W712" s="2"/>
      <c r="X712" s="2"/>
      <c r="Y712" s="2"/>
      <c r="Z712" s="2"/>
    </row>
    <row r="713" spans="3:26" x14ac:dyDescent="0.25">
      <c r="C713" s="2"/>
      <c r="D713" s="2"/>
      <c r="E713" s="2"/>
      <c r="F713" s="2"/>
      <c r="G713" s="2"/>
      <c r="H713" s="2"/>
      <c r="I713" s="2"/>
      <c r="J713" s="11"/>
      <c r="K713" s="2"/>
      <c r="L713" s="2"/>
      <c r="M713" s="11"/>
      <c r="N713" s="11"/>
      <c r="O713" s="2"/>
      <c r="P713" s="21"/>
      <c r="Q713" s="11"/>
      <c r="R713" s="2"/>
      <c r="S713" s="2"/>
      <c r="T713" s="11"/>
      <c r="U713" s="2"/>
      <c r="V713" s="2"/>
      <c r="W713" s="2"/>
      <c r="X713" s="2"/>
      <c r="Y713" s="2"/>
      <c r="Z713" s="2"/>
    </row>
    <row r="714" spans="3:26" x14ac:dyDescent="0.25"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11"/>
      <c r="N714" s="11"/>
      <c r="O714" s="2"/>
      <c r="P714" s="21"/>
      <c r="Q714" s="11"/>
      <c r="R714" s="2"/>
      <c r="S714" s="2"/>
      <c r="T714" s="11"/>
      <c r="U714" s="2"/>
      <c r="V714" s="2"/>
      <c r="W714" s="2"/>
      <c r="X714" s="2"/>
      <c r="Y714" s="2"/>
      <c r="Z714" s="2"/>
    </row>
    <row r="715" spans="3:26" x14ac:dyDescent="0.25">
      <c r="C715" s="1"/>
      <c r="D715" s="6"/>
      <c r="E715" s="2"/>
      <c r="F715" s="3"/>
      <c r="G715" s="2"/>
      <c r="H715" s="2"/>
      <c r="I715" s="2"/>
      <c r="J715" s="2"/>
      <c r="K715" s="2"/>
      <c r="L715" s="2"/>
      <c r="M715" s="11"/>
      <c r="N715" s="11"/>
      <c r="O715" s="2"/>
      <c r="P715" s="21"/>
      <c r="Q715" s="11"/>
      <c r="R715" s="2"/>
      <c r="S715" s="2"/>
      <c r="T715" s="11"/>
      <c r="U715" s="2"/>
      <c r="V715" s="2"/>
      <c r="W715" s="2"/>
      <c r="X715" s="2"/>
      <c r="Y715" s="2"/>
      <c r="Z715" s="2"/>
    </row>
    <row r="716" spans="3:26" x14ac:dyDescent="0.25">
      <c r="C716" s="1"/>
      <c r="D716" s="6"/>
      <c r="E716" s="2"/>
      <c r="F716" s="3"/>
      <c r="G716" s="2"/>
      <c r="H716" s="2"/>
      <c r="I716" s="2"/>
      <c r="J716" s="2"/>
      <c r="K716" s="2"/>
      <c r="L716" s="2"/>
      <c r="M716" s="11"/>
      <c r="N716" s="11"/>
      <c r="O716" s="2"/>
      <c r="P716" s="21"/>
      <c r="Q716" s="11"/>
      <c r="R716" s="2"/>
      <c r="S716" s="2"/>
      <c r="T716" s="2"/>
      <c r="U716" s="2"/>
      <c r="V716" s="2"/>
      <c r="W716" s="2"/>
      <c r="X716" s="2"/>
      <c r="Y716" s="2"/>
      <c r="Z716" s="2"/>
    </row>
    <row r="717" spans="3:26" x14ac:dyDescent="0.25">
      <c r="C717" s="1"/>
      <c r="D717" s="6"/>
      <c r="E717" s="2"/>
      <c r="F717" s="3"/>
      <c r="G717" s="10"/>
      <c r="H717" s="2"/>
      <c r="I717" s="2"/>
      <c r="J717" s="2"/>
      <c r="K717" s="2"/>
      <c r="L717" s="2"/>
      <c r="M717" s="11"/>
      <c r="N717" s="11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3:26" x14ac:dyDescent="0.25">
      <c r="C718" s="1"/>
      <c r="D718" s="6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3:26" x14ac:dyDescent="0.25">
      <c r="C719" s="2"/>
      <c r="D719" s="6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3:26" x14ac:dyDescent="0.25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3:26" x14ac:dyDescent="0.25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3:26" x14ac:dyDescent="0.25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3:26" x14ac:dyDescent="0.25"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3:26" x14ac:dyDescent="0.25">
      <c r="C724" s="1"/>
      <c r="D724" s="6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3:26" x14ac:dyDescent="0.25">
      <c r="C725" s="1"/>
      <c r="D725" s="6"/>
      <c r="E725" s="2"/>
      <c r="F725" s="3"/>
      <c r="G725" s="1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3:26" x14ac:dyDescent="0.25">
      <c r="C726" s="1"/>
      <c r="D726" s="6"/>
      <c r="E726" s="2"/>
      <c r="F726" s="3"/>
      <c r="G726" s="1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3:26" x14ac:dyDescent="0.25">
      <c r="C727" s="2"/>
      <c r="D727" s="6"/>
      <c r="E727" s="2"/>
      <c r="F727" s="3"/>
      <c r="G727" s="1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3:26" x14ac:dyDescent="0.25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3:26" x14ac:dyDescent="0.25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3:26" x14ac:dyDescent="0.25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3:26" x14ac:dyDescent="0.25"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3:26" x14ac:dyDescent="0.25">
      <c r="C732" s="1"/>
      <c r="D732" s="6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3:26" x14ac:dyDescent="0.25">
      <c r="C733" s="1"/>
      <c r="D733" s="6"/>
      <c r="E733" s="2"/>
      <c r="F733" s="3"/>
      <c r="G733" s="1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3:26" x14ac:dyDescent="0.25">
      <c r="C734" s="1"/>
      <c r="D734" s="6"/>
      <c r="E734" s="2"/>
      <c r="F734" s="3"/>
      <c r="G734" s="1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3:26" x14ac:dyDescent="0.25">
      <c r="C735" s="2"/>
      <c r="D735" s="6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3:26" x14ac:dyDescent="0.25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3:26" x14ac:dyDescent="0.25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3:26" x14ac:dyDescent="0.25">
      <c r="C738" s="2"/>
      <c r="D738" s="2"/>
      <c r="E738" s="2"/>
      <c r="F738" s="2"/>
      <c r="G738" s="2"/>
      <c r="H738" s="2"/>
      <c r="I738" s="1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3:26" x14ac:dyDescent="0.25">
      <c r="C739" s="1"/>
      <c r="D739" s="2"/>
      <c r="E739" s="2"/>
      <c r="F739" s="2"/>
      <c r="G739" s="2"/>
      <c r="H739" s="2"/>
      <c r="I739" s="1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3:26" x14ac:dyDescent="0.25">
      <c r="C740" s="1"/>
      <c r="D740" s="6"/>
      <c r="E740" s="2"/>
      <c r="F740" s="3"/>
      <c r="G740" s="2"/>
      <c r="H740" s="2"/>
      <c r="I740" s="1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3:26" x14ac:dyDescent="0.25">
      <c r="C741" s="1"/>
      <c r="D741" s="6"/>
      <c r="E741" s="2"/>
      <c r="F741" s="3"/>
      <c r="G741" s="10"/>
      <c r="H741" s="2"/>
      <c r="I741" s="1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3:26" x14ac:dyDescent="0.25">
      <c r="C742" s="1"/>
      <c r="D742" s="6"/>
      <c r="E742" s="2"/>
      <c r="F742" s="3"/>
      <c r="G742" s="2"/>
      <c r="H742" s="2"/>
      <c r="I742" s="1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3:26" x14ac:dyDescent="0.25">
      <c r="C743" s="2"/>
      <c r="D743" s="2"/>
      <c r="E743" s="2"/>
      <c r="F743" s="2"/>
      <c r="G743" s="2"/>
      <c r="H743" s="2"/>
      <c r="I743" s="1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3:26" x14ac:dyDescent="0.25">
      <c r="C744" s="2"/>
      <c r="D744" s="2"/>
      <c r="E744" s="2"/>
      <c r="F744" s="2"/>
      <c r="G744" s="2"/>
      <c r="H744" s="2"/>
      <c r="I744" s="1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3:26" x14ac:dyDescent="0.25">
      <c r="C745" s="2"/>
      <c r="D745" s="2"/>
      <c r="E745" s="2"/>
      <c r="F745" s="2"/>
      <c r="G745" s="2"/>
      <c r="H745" s="2"/>
      <c r="I745" s="1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3:26" x14ac:dyDescent="0.25"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3:26" x14ac:dyDescent="0.25">
      <c r="C747" s="1"/>
      <c r="D747" s="6"/>
      <c r="E747" s="2"/>
      <c r="F747" s="3"/>
      <c r="G747" s="2"/>
      <c r="H747" s="2"/>
      <c r="I747" s="1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3:26" x14ac:dyDescent="0.25">
      <c r="C748" s="1"/>
      <c r="D748" s="6"/>
      <c r="E748" s="2"/>
      <c r="F748" s="3"/>
      <c r="G748" s="10"/>
      <c r="H748" s="2"/>
      <c r="I748" s="1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3:26" x14ac:dyDescent="0.25">
      <c r="C749" s="1"/>
      <c r="D749" s="6"/>
      <c r="E749" s="2"/>
      <c r="F749" s="3"/>
      <c r="G749" s="1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3:26" x14ac:dyDescent="0.25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3:26" x14ac:dyDescent="0.25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3:26" x14ac:dyDescent="0.25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3:26" x14ac:dyDescent="0.25"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3:26" x14ac:dyDescent="0.25">
      <c r="C754" s="1"/>
      <c r="D754" s="6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3:26" x14ac:dyDescent="0.25">
      <c r="C755" s="1"/>
      <c r="D755" s="6"/>
      <c r="E755" s="2"/>
      <c r="F755" s="3"/>
      <c r="G755" s="1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3:26" x14ac:dyDescent="0.25">
      <c r="C756" s="1"/>
      <c r="D756" s="6"/>
      <c r="E756" s="2"/>
      <c r="F756" s="3"/>
      <c r="G756" s="1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3:26" x14ac:dyDescent="0.25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3:26" x14ac:dyDescent="0.25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3:26" x14ac:dyDescent="0.25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3:26" x14ac:dyDescent="0.25">
      <c r="C760" s="1"/>
      <c r="D760" s="6"/>
      <c r="E760" s="2"/>
      <c r="F760" s="3"/>
      <c r="G760" s="1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3:26" x14ac:dyDescent="0.25">
      <c r="C761" s="1"/>
      <c r="D761" s="6"/>
      <c r="E761" s="2"/>
      <c r="F761" s="3"/>
      <c r="G761" s="1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3:26" x14ac:dyDescent="0.25">
      <c r="C762" s="1"/>
      <c r="D762" s="6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3:26" x14ac:dyDescent="0.25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3:26" x14ac:dyDescent="0.25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3:26" x14ac:dyDescent="0.2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3:26" x14ac:dyDescent="0.25"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3:26" x14ac:dyDescent="0.25">
      <c r="C767" s="1"/>
      <c r="D767" s="6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3:26" x14ac:dyDescent="0.25">
      <c r="C768" s="1"/>
      <c r="D768" s="6"/>
      <c r="E768" s="2"/>
      <c r="F768" s="3"/>
      <c r="G768" s="10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3:26" x14ac:dyDescent="0.25">
      <c r="C769" s="1"/>
      <c r="D769" s="6"/>
      <c r="E769" s="2"/>
      <c r="F769" s="3"/>
      <c r="G769" s="10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3:26" x14ac:dyDescent="0.25">
      <c r="C770" s="1"/>
      <c r="D770" s="6"/>
      <c r="E770" s="2"/>
      <c r="F770" s="3"/>
      <c r="G770" s="10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3:26" x14ac:dyDescent="0.25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3:26" x14ac:dyDescent="0.25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3:26" x14ac:dyDescent="0.25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3:26" x14ac:dyDescent="0.25"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3:26" x14ac:dyDescent="0.25">
      <c r="C775" s="1"/>
      <c r="D775" s="6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3:26" x14ac:dyDescent="0.25">
      <c r="C776" s="1"/>
      <c r="D776" s="6"/>
      <c r="E776" s="2"/>
      <c r="F776" s="3"/>
      <c r="G776" s="10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3:26" x14ac:dyDescent="0.25">
      <c r="C777" s="1"/>
      <c r="D777" s="6"/>
      <c r="E777" s="2"/>
      <c r="F777" s="3"/>
      <c r="G777" s="10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3:26" x14ac:dyDescent="0.25">
      <c r="C778" s="1"/>
      <c r="D778" s="6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3:26" x14ac:dyDescent="0.25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3:26" x14ac:dyDescent="0.25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3:26" x14ac:dyDescent="0.25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3:26" x14ac:dyDescent="0.25"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3:26" x14ac:dyDescent="0.25">
      <c r="C783" s="1"/>
      <c r="D783" s="6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3:26" x14ac:dyDescent="0.25">
      <c r="C784" s="1"/>
      <c r="D784" s="6"/>
      <c r="E784" s="2"/>
      <c r="F784" s="3"/>
      <c r="G784" s="10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3:26" x14ac:dyDescent="0.25">
      <c r="C785" s="1"/>
      <c r="D785" s="6"/>
      <c r="E785" s="2"/>
      <c r="F785" s="3"/>
      <c r="G785" s="10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3:26" x14ac:dyDescent="0.25">
      <c r="C786" s="1"/>
      <c r="D786" s="6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3:26" x14ac:dyDescent="0.25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3:26" x14ac:dyDescent="0.25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3:26" x14ac:dyDescent="0.25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3:26" x14ac:dyDescent="0.25"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3:26" x14ac:dyDescent="0.25">
      <c r="C791" s="1"/>
      <c r="D791" s="6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3:26" x14ac:dyDescent="0.25">
      <c r="C792" s="1"/>
      <c r="D792" s="6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3:26" x14ac:dyDescent="0.25">
      <c r="C793" s="1"/>
      <c r="D793" s="6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3:26" x14ac:dyDescent="0.25">
      <c r="C794" s="1"/>
      <c r="D794" s="6"/>
      <c r="E794" s="2"/>
      <c r="F794" s="3"/>
      <c r="G794" s="10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3:26" x14ac:dyDescent="0.25">
      <c r="C795" s="1"/>
      <c r="D795" s="6"/>
      <c r="E795" s="2"/>
      <c r="F795" s="3"/>
      <c r="G795" s="10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3:26" x14ac:dyDescent="0.25">
      <c r="C796" s="1"/>
      <c r="D796" s="6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3:26" x14ac:dyDescent="0.25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3:26" x14ac:dyDescent="0.25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3:26" x14ac:dyDescent="0.25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3:26" x14ac:dyDescent="0.25"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3:26" x14ac:dyDescent="0.25">
      <c r="C801" s="1"/>
      <c r="D801" s="6"/>
      <c r="E801" s="2"/>
      <c r="F801" s="3"/>
      <c r="G801" s="10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3:26" x14ac:dyDescent="0.25">
      <c r="C802" s="1"/>
      <c r="D802" s="6"/>
      <c r="E802" s="2"/>
      <c r="F802" s="3"/>
      <c r="G802" s="10"/>
      <c r="H802" s="2"/>
      <c r="I802" s="1"/>
      <c r="J802" s="6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3:26" x14ac:dyDescent="0.25">
      <c r="C803" s="1"/>
      <c r="D803" s="6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3:26" x14ac:dyDescent="0.25">
      <c r="C804" s="1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3:26" x14ac:dyDescent="0.25">
      <c r="C805" s="1"/>
      <c r="D805" s="2"/>
      <c r="E805" s="2"/>
      <c r="F805" s="3"/>
      <c r="G805" s="2"/>
      <c r="H805" s="2"/>
      <c r="I805" s="2"/>
      <c r="J805" s="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3:26" x14ac:dyDescent="0.25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3:26" x14ac:dyDescent="0.25"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3:26" x14ac:dyDescent="0.25">
      <c r="C808" s="1"/>
      <c r="D808" s="6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3:26" x14ac:dyDescent="0.25">
      <c r="C809" s="1"/>
      <c r="D809" s="6"/>
      <c r="E809" s="2"/>
      <c r="F809" s="3"/>
      <c r="G809" s="10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3:26" x14ac:dyDescent="0.25">
      <c r="C810" s="1"/>
      <c r="D810" s="6"/>
      <c r="E810" s="2"/>
      <c r="F810" s="3"/>
      <c r="G810" s="10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3:26" x14ac:dyDescent="0.25">
      <c r="C811" s="1"/>
      <c r="D811" s="6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3:26" x14ac:dyDescent="0.25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3:26" x14ac:dyDescent="0.25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3:26" x14ac:dyDescent="0.25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3:26" x14ac:dyDescent="0.25"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3:26" x14ac:dyDescent="0.25">
      <c r="C816" s="1"/>
      <c r="D816" s="6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3:26" x14ac:dyDescent="0.25">
      <c r="C817" s="1"/>
      <c r="D817" s="6"/>
      <c r="E817" s="2"/>
      <c r="F817" s="3"/>
      <c r="G817" s="10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3:26" x14ac:dyDescent="0.25">
      <c r="C818" s="1"/>
      <c r="D818" s="6"/>
      <c r="E818" s="2"/>
      <c r="F818" s="3"/>
      <c r="G818" s="10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3:26" x14ac:dyDescent="0.25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3:26" x14ac:dyDescent="0.25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3:26" x14ac:dyDescent="0.25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3:26" x14ac:dyDescent="0.25"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3:26" x14ac:dyDescent="0.25">
      <c r="C823" s="1"/>
      <c r="D823" s="6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3:26" x14ac:dyDescent="0.25">
      <c r="C824" s="1"/>
      <c r="D824" s="6"/>
      <c r="E824" s="2"/>
      <c r="F824" s="3"/>
      <c r="G824" s="10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3:26" x14ac:dyDescent="0.25">
      <c r="C825" s="1"/>
      <c r="D825" s="6"/>
      <c r="E825" s="2"/>
      <c r="F825" s="3"/>
      <c r="G825" s="10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3:26" x14ac:dyDescent="0.25">
      <c r="C826" s="1"/>
      <c r="D826" s="6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3:26" x14ac:dyDescent="0.25">
      <c r="C827" s="1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3:26" x14ac:dyDescent="0.25">
      <c r="C828" s="1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3:26" x14ac:dyDescent="0.25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3:26" x14ac:dyDescent="0.25"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3:26" x14ac:dyDescent="0.25">
      <c r="C831" s="1"/>
      <c r="D831" s="6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3:26" x14ac:dyDescent="0.25">
      <c r="C832" s="1"/>
      <c r="D832" s="6"/>
      <c r="E832" s="2"/>
      <c r="F832" s="3"/>
      <c r="G832" s="10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3:26" x14ac:dyDescent="0.25">
      <c r="C833" s="1"/>
      <c r="D833" s="6"/>
      <c r="E833" s="2"/>
      <c r="F833" s="3"/>
      <c r="G833" s="10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3:26" x14ac:dyDescent="0.25">
      <c r="C834" s="1"/>
      <c r="D834" s="6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3:26" x14ac:dyDescent="0.2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3:26" x14ac:dyDescent="0.25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3:26" x14ac:dyDescent="0.25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3:26" x14ac:dyDescent="0.25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3:26" x14ac:dyDescent="0.25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3:26" x14ac:dyDescent="0.25"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3:26" x14ac:dyDescent="0.25">
      <c r="C841" s="1"/>
      <c r="D841" s="6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3:26" x14ac:dyDescent="0.25">
      <c r="C842" s="1"/>
      <c r="D842" s="6"/>
      <c r="E842" s="2"/>
      <c r="F842" s="3"/>
      <c r="G842" s="10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3:26" x14ac:dyDescent="0.25">
      <c r="C843" s="1"/>
      <c r="D843" s="6"/>
      <c r="E843" s="2"/>
      <c r="F843" s="3"/>
      <c r="G843" s="10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3:26" x14ac:dyDescent="0.25">
      <c r="C844" s="1"/>
      <c r="D844" s="6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3:26" x14ac:dyDescent="0.2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3:26" x14ac:dyDescent="0.25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3:26" x14ac:dyDescent="0.25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3:26" x14ac:dyDescent="0.25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3:26" x14ac:dyDescent="0.25"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3:26" x14ac:dyDescent="0.25">
      <c r="C850" s="1"/>
      <c r="D850" s="6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3:26" x14ac:dyDescent="0.25">
      <c r="C851" s="1"/>
      <c r="D851" s="6"/>
      <c r="E851" s="2"/>
      <c r="F851" s="3"/>
      <c r="G851" s="10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3:26" x14ac:dyDescent="0.25">
      <c r="C852" s="1"/>
      <c r="D852" s="6"/>
      <c r="E852" s="2"/>
      <c r="F852" s="3"/>
      <c r="G852" s="10"/>
      <c r="H852" s="2"/>
      <c r="I852" s="10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3:26" x14ac:dyDescent="0.25">
      <c r="C853" s="1"/>
      <c r="D853" s="6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3:26" x14ac:dyDescent="0.25">
      <c r="C854" s="1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3:26" x14ac:dyDescent="0.2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3:26" x14ac:dyDescent="0.25"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3:26" x14ac:dyDescent="0.25">
      <c r="C857" s="1"/>
      <c r="D857" s="6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3:26" x14ac:dyDescent="0.25">
      <c r="C858" s="1"/>
      <c r="D858" s="6"/>
      <c r="E858" s="2"/>
      <c r="F858" s="3"/>
      <c r="G858" s="10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3:26" x14ac:dyDescent="0.25">
      <c r="C859" s="1"/>
      <c r="D859" s="6"/>
      <c r="E859" s="2"/>
      <c r="F859" s="3"/>
      <c r="G859" s="10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3:26" x14ac:dyDescent="0.25">
      <c r="C860" s="1"/>
      <c r="D860" s="6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3:26" x14ac:dyDescent="0.25">
      <c r="C861" s="1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3:26" x14ac:dyDescent="0.25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3:26" x14ac:dyDescent="0.25"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3:26" x14ac:dyDescent="0.25">
      <c r="C864" s="1"/>
      <c r="D864" s="6"/>
      <c r="E864" s="2"/>
      <c r="F864" s="3"/>
      <c r="G864" s="2"/>
      <c r="H864" s="10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3:26" x14ac:dyDescent="0.25">
      <c r="C865" s="1"/>
      <c r="D865" s="6"/>
      <c r="E865" s="2"/>
      <c r="F865" s="3"/>
      <c r="G865" s="10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3:26" x14ac:dyDescent="0.25">
      <c r="C866" s="1"/>
      <c r="D866" s="6"/>
      <c r="E866" s="2"/>
      <c r="F866" s="3"/>
      <c r="G866" s="10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3:26" x14ac:dyDescent="0.25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3:26" x14ac:dyDescent="0.25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3:26" x14ac:dyDescent="0.25"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3:26" x14ac:dyDescent="0.25">
      <c r="C870" s="1"/>
      <c r="D870" s="6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3:26" x14ac:dyDescent="0.25">
      <c r="C871" s="1"/>
      <c r="D871" s="6"/>
      <c r="E871" s="2"/>
      <c r="F871" s="3"/>
      <c r="G871" s="10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3:26" x14ac:dyDescent="0.25">
      <c r="C872" s="1"/>
      <c r="D872" s="6"/>
      <c r="E872" s="2"/>
      <c r="F872" s="3"/>
      <c r="G872" s="10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3:26" x14ac:dyDescent="0.25">
      <c r="C873" s="1"/>
      <c r="D873" s="6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3:26" x14ac:dyDescent="0.25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3:26" x14ac:dyDescent="0.2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3:26" x14ac:dyDescent="0.25"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3:26" x14ac:dyDescent="0.25">
      <c r="C877" s="1"/>
      <c r="D877" s="6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3:26" x14ac:dyDescent="0.25">
      <c r="C878" s="1"/>
      <c r="D878" s="6"/>
      <c r="E878" s="2"/>
      <c r="F878" s="3"/>
      <c r="G878" s="10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3:26" x14ac:dyDescent="0.25">
      <c r="C879" s="1"/>
      <c r="D879" s="6"/>
      <c r="E879" s="2"/>
      <c r="F879" s="3"/>
      <c r="G879" s="10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3:26" x14ac:dyDescent="0.25">
      <c r="C880" s="2"/>
      <c r="D880" s="6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3:26" x14ac:dyDescent="0.25">
      <c r="C881" s="2"/>
      <c r="D881" s="6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3:26" x14ac:dyDescent="0.25"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3:26" x14ac:dyDescent="0.25"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3:26" x14ac:dyDescent="0.25">
      <c r="C884" s="1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3:26" x14ac:dyDescent="0.25">
      <c r="C885" s="1"/>
      <c r="D885" s="6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3:26" x14ac:dyDescent="0.25">
      <c r="C886" s="1"/>
      <c r="D886" s="6"/>
      <c r="E886" s="2"/>
      <c r="F886" s="3"/>
      <c r="G886" s="10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3:26" x14ac:dyDescent="0.25">
      <c r="C887" s="1"/>
      <c r="D887" s="6"/>
      <c r="E887" s="2"/>
      <c r="F887" s="3"/>
      <c r="G887" s="10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3:26" x14ac:dyDescent="0.25">
      <c r="C888" s="1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3:26" x14ac:dyDescent="0.25">
      <c r="C889" s="1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3:26" x14ac:dyDescent="0.25">
      <c r="C890" s="1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3:26" x14ac:dyDescent="0.25">
      <c r="C891" s="2"/>
      <c r="D891" s="6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3:26" x14ac:dyDescent="0.25">
      <c r="C892" s="1"/>
      <c r="D892" s="6"/>
      <c r="E892" s="2"/>
      <c r="F892" s="3"/>
      <c r="G892" s="10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3:26" x14ac:dyDescent="0.25">
      <c r="C893" s="1"/>
      <c r="D893" s="6"/>
      <c r="E893" s="2"/>
      <c r="F893" s="3"/>
      <c r="G893" s="10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3:26" x14ac:dyDescent="0.25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3:26" x14ac:dyDescent="0.2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3:26" x14ac:dyDescent="0.25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3:26" x14ac:dyDescent="0.25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3:26" x14ac:dyDescent="0.25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3:26" x14ac:dyDescent="0.25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3:26" x14ac:dyDescent="0.25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3:26" x14ac:dyDescent="0.25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3:26" x14ac:dyDescent="0.25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3:26" x14ac:dyDescent="0.25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3:26" x14ac:dyDescent="0.25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3:26" x14ac:dyDescent="0.2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3:26" x14ac:dyDescent="0.25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3:26" x14ac:dyDescent="0.25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3:26" x14ac:dyDescent="0.25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3:26" x14ac:dyDescent="0.25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3:26" x14ac:dyDescent="0.25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3:26" x14ac:dyDescent="0.25">
      <c r="O911" s="2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Beatriz Ponce</cp:lastModifiedBy>
  <dcterms:created xsi:type="dcterms:W3CDTF">2019-09-06T19:25:15Z</dcterms:created>
  <dcterms:modified xsi:type="dcterms:W3CDTF">2026-09-10T21:34:07Z</dcterms:modified>
</cp:coreProperties>
</file>