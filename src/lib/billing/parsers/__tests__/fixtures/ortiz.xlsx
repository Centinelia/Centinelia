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xiliar\Desktop\"/>
    </mc:Choice>
  </mc:AlternateContent>
  <xr:revisionPtr revIDLastSave="0" documentId="8_{EB22BCBE-E87C-46E1-919C-7D002F045921}" xr6:coauthVersionLast="47" xr6:coauthVersionMax="47" xr10:uidLastSave="{00000000-0000-0000-0000-000000000000}"/>
  <bookViews>
    <workbookView xWindow="-120" yWindow="-120" windowWidth="29040" windowHeight="15720" xr2:uid="{8FA1FB11-31D5-4D03-A0B3-1A80D3336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0" i="1" l="1"/>
  <c r="O81" i="1" s="1"/>
  <c r="N80" i="1"/>
  <c r="N81" i="1" s="1"/>
  <c r="M80" i="1"/>
  <c r="M81" i="1" s="1"/>
  <c r="L80" i="1"/>
  <c r="L81" i="1" s="1"/>
  <c r="K80" i="1"/>
  <c r="K81" i="1" s="1"/>
  <c r="J80" i="1"/>
  <c r="J81" i="1" s="1"/>
  <c r="I80" i="1"/>
  <c r="I81" i="1" s="1"/>
  <c r="H80" i="1"/>
  <c r="H81" i="1" s="1"/>
  <c r="G80" i="1"/>
  <c r="G81" i="1" s="1"/>
  <c r="F80" i="1"/>
  <c r="F81" i="1" s="1"/>
  <c r="E80" i="1"/>
  <c r="E81" i="1" s="1"/>
  <c r="D80" i="1"/>
  <c r="P78" i="1"/>
  <c r="P77" i="1"/>
  <c r="P76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79" i="1" s="1"/>
  <c r="O52" i="1"/>
  <c r="O53" i="1" s="1"/>
  <c r="N52" i="1"/>
  <c r="N53" i="1" s="1"/>
  <c r="M52" i="1"/>
  <c r="M53" i="1" s="1"/>
  <c r="L52" i="1"/>
  <c r="L53" i="1" s="1"/>
  <c r="K52" i="1"/>
  <c r="K53" i="1" s="1"/>
  <c r="J52" i="1"/>
  <c r="J53" i="1" s="1"/>
  <c r="I52" i="1"/>
  <c r="I53" i="1" s="1"/>
  <c r="H52" i="1"/>
  <c r="H53" i="1" s="1"/>
  <c r="G52" i="1"/>
  <c r="G53" i="1" s="1"/>
  <c r="F52" i="1"/>
  <c r="F53" i="1" s="1"/>
  <c r="E52" i="1"/>
  <c r="E53" i="1" s="1"/>
  <c r="D52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51" i="1" s="1"/>
  <c r="O24" i="1"/>
  <c r="O25" i="1" s="1"/>
  <c r="N24" i="1"/>
  <c r="N25" i="1" s="1"/>
  <c r="M24" i="1"/>
  <c r="M25" i="1" s="1"/>
  <c r="L24" i="1"/>
  <c r="L25" i="1" s="1"/>
  <c r="K24" i="1"/>
  <c r="K25" i="1" s="1"/>
  <c r="J24" i="1"/>
  <c r="J25" i="1" s="1"/>
  <c r="I24" i="1"/>
  <c r="I25" i="1" s="1"/>
  <c r="H24" i="1"/>
  <c r="H25" i="1" s="1"/>
  <c r="G24" i="1"/>
  <c r="G25" i="1" s="1"/>
  <c r="F24" i="1"/>
  <c r="F25" i="1" s="1"/>
  <c r="E24" i="1"/>
  <c r="E25" i="1" s="1"/>
  <c r="D24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23" i="1" s="1"/>
  <c r="P80" i="1" l="1"/>
  <c r="D81" i="1"/>
  <c r="P81" i="1" s="1"/>
  <c r="P52" i="1"/>
  <c r="D53" i="1"/>
  <c r="P53" i="1" s="1"/>
  <c r="P24" i="1"/>
  <c r="D25" i="1"/>
  <c r="P25" i="1" s="1"/>
  <c r="Q2" i="1" s="1"/>
</calcChain>
</file>

<file path=xl/sharedStrings.xml><?xml version="1.0" encoding="utf-8"?>
<sst xmlns="http://schemas.openxmlformats.org/spreadsheetml/2006/main" count="102" uniqueCount="42">
  <si>
    <t xml:space="preserve">1 CTE:593 CARNES ORTIZ (MA DEL ROSARIO)                           </t>
  </si>
  <si>
    <t>TOTAL FACT</t>
  </si>
  <si>
    <t>Fecha</t>
  </si>
  <si>
    <t>Folio</t>
  </si>
  <si>
    <t>Suc</t>
  </si>
  <si>
    <t>ESTRELLA 1KG</t>
  </si>
  <si>
    <t>ESTRELLA 1/2</t>
  </si>
  <si>
    <t>RANCHO 1KG</t>
  </si>
  <si>
    <t>RANCHO 1/2</t>
  </si>
  <si>
    <t>GELITA</t>
  </si>
  <si>
    <t>TACO 1KG.</t>
  </si>
  <si>
    <t>ROJA</t>
  </si>
  <si>
    <t>SALSAS</t>
  </si>
  <si>
    <t xml:space="preserve">GELITA ESD </t>
  </si>
  <si>
    <t>TOTAL</t>
  </si>
  <si>
    <t>x</t>
  </si>
  <si>
    <t>RANCHO</t>
  </si>
  <si>
    <t xml:space="preserve">ELOY </t>
  </si>
  <si>
    <t>3 CAMINOS</t>
  </si>
  <si>
    <t>TAMAULIPAS</t>
  </si>
  <si>
    <t>ACUEDUCTO</t>
  </si>
  <si>
    <t>XOCHIMILCO</t>
  </si>
  <si>
    <t>TOTAL GENERAL:</t>
  </si>
  <si>
    <t xml:space="preserve">TOTAL KILOS </t>
  </si>
  <si>
    <t xml:space="preserve">CANT EN PESOS </t>
  </si>
  <si>
    <t xml:space="preserve">2  CTE:594 CARNES ORTIZ (DIANA RUBI ORTIZ BARRON)                                                   </t>
  </si>
  <si>
    <t>H. CRUDA</t>
  </si>
  <si>
    <t>LA SILLA</t>
  </si>
  <si>
    <t>LOPEZ MATEOS</t>
  </si>
  <si>
    <t>VALLE REAL</t>
  </si>
  <si>
    <t>APODACA</t>
  </si>
  <si>
    <t>VILLA SN FCO.</t>
  </si>
  <si>
    <t>SN FCO</t>
  </si>
  <si>
    <t xml:space="preserve">                                                          3 CTE:595  CARNES ORTIZ (KARINA LIZETH ORTIZ BARRON)                                      +</t>
  </si>
  <si>
    <t xml:space="preserve">SIN MARCA </t>
  </si>
  <si>
    <t>EL SABINAL</t>
  </si>
  <si>
    <t>MORENA</t>
  </si>
  <si>
    <t>LA JOYA</t>
  </si>
  <si>
    <t>TACUBAYA</t>
  </si>
  <si>
    <t>JOYA</t>
  </si>
  <si>
    <t>SABINAL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</si>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</sst>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]* #,##0.00_-;\-[$$]* #,##0.00_-;_-[$$]* &quot;-&quot;??_-;_-@_-" x16r2:formatCode16="_-[$$-sn-Latn-ZW]* #,##0.00_-;\-[$$-sn-Latn-ZW]* #,##0.00_-;_-[$$-sn-Latn-ZW]* &quot;-&quot;??_-;_-@_-"/>
    <numFmt numFmtId="165" formatCode="_-[$$-476]* #,##0.00_ ;_-[$$-476]* \-#,##0.00\ ;_-[$$-476]* &quot;-&quot;??_ ;_-@_ "/>
    <numFmt numFmtId="166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0"/>
      <name val="Arial Black"/>
      <family val="2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0" xfId="0" applyFont="1" applyFill="1"/>
    <xf numFmtId="0" fontId="4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64" fontId="2" fillId="3" borderId="0" xfId="0" applyNumberFormat="1" applyFont="1" applyFill="1"/>
    <xf numFmtId="14" fontId="5" fillId="2" borderId="6" xfId="0" applyNumberFormat="1" applyFont="1" applyFill="1" applyBorder="1" applyAlignment="1">
      <alignment horizontal="center"/>
    </xf>
    <xf numFmtId="44" fontId="5" fillId="4" borderId="8" xfId="0" applyNumberFormat="1" applyFont="1" applyFill="1" applyBorder="1" applyAlignment="1">
      <alignment horizontal="center"/>
    </xf>
    <xf numFmtId="44" fontId="4" fillId="4" borderId="6" xfId="0" applyNumberFormat="1" applyFont="1" applyFill="1" applyBorder="1" applyAlignment="1">
      <alignment horizontal="center"/>
    </xf>
    <xf numFmtId="44" fontId="5" fillId="4" borderId="6" xfId="0" applyNumberFormat="1" applyFont="1" applyFill="1" applyBorder="1" applyAlignment="1">
      <alignment horizontal="center"/>
    </xf>
    <xf numFmtId="44" fontId="4" fillId="4" borderId="5" xfId="0" applyNumberFormat="1" applyFont="1" applyFill="1" applyBorder="1" applyAlignment="1">
      <alignment horizontal="center"/>
    </xf>
    <xf numFmtId="44" fontId="5" fillId="4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4" fontId="6" fillId="5" borderId="7" xfId="0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4" fontId="6" fillId="5" borderId="7" xfId="0" applyNumberFormat="1" applyFont="1" applyFill="1" applyBorder="1" applyAlignment="1">
      <alignment horizontal="left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44" fontId="7" fillId="6" borderId="0" xfId="0" applyNumberFormat="1" applyFont="1" applyFill="1" applyAlignment="1">
      <alignment horizontal="center"/>
    </xf>
    <xf numFmtId="44" fontId="8" fillId="6" borderId="0" xfId="0" applyNumberFormat="1" applyFont="1" applyFill="1" applyAlignment="1">
      <alignment horizontal="center"/>
    </xf>
    <xf numFmtId="44" fontId="5" fillId="6" borderId="0" xfId="0" applyNumberFormat="1" applyFont="1" applyFill="1" applyAlignment="1">
      <alignment horizontal="center"/>
    </xf>
    <xf numFmtId="165" fontId="7" fillId="7" borderId="6" xfId="2" applyNumberFormat="1" applyFont="1" applyFill="1" applyBorder="1" applyAlignment="1">
      <alignment horizontal="center"/>
    </xf>
    <xf numFmtId="14" fontId="7" fillId="5" borderId="7" xfId="0" applyNumberFormat="1" applyFont="1" applyFill="1" applyBorder="1" applyAlignment="1">
      <alignment horizontal="left"/>
    </xf>
    <xf numFmtId="0" fontId="6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44" fontId="9" fillId="6" borderId="0" xfId="0" applyNumberFormat="1" applyFont="1" applyFill="1" applyAlignment="1">
      <alignment horizontal="center"/>
    </xf>
    <xf numFmtId="1" fontId="9" fillId="6" borderId="0" xfId="0" applyNumberFormat="1" applyFont="1" applyFill="1" applyAlignment="1">
      <alignment horizontal="center"/>
    </xf>
    <xf numFmtId="165" fontId="6" fillId="7" borderId="6" xfId="2" applyNumberFormat="1" applyFont="1" applyFill="1" applyBorder="1" applyAlignment="1">
      <alignment horizontal="center"/>
    </xf>
    <xf numFmtId="1" fontId="5" fillId="6" borderId="0" xfId="0" applyNumberFormat="1" applyFont="1" applyFill="1" applyAlignment="1">
      <alignment horizontal="center"/>
    </xf>
    <xf numFmtId="1" fontId="7" fillId="6" borderId="0" xfId="0" applyNumberFormat="1" applyFont="1" applyFill="1" applyAlignment="1">
      <alignment horizontal="center"/>
    </xf>
    <xf numFmtId="0" fontId="2" fillId="0" borderId="0" xfId="0" applyFont="1"/>
    <xf numFmtId="0" fontId="6" fillId="5" borderId="7" xfId="0" applyFont="1" applyFill="1" applyBorder="1" applyAlignment="1">
      <alignment horizontal="left"/>
    </xf>
    <xf numFmtId="1" fontId="6" fillId="6" borderId="0" xfId="0" applyNumberFormat="1" applyFont="1" applyFill="1" applyAlignment="1">
      <alignment horizontal="center"/>
    </xf>
    <xf numFmtId="44" fontId="6" fillId="7" borderId="6" xfId="2" applyFont="1" applyFill="1" applyBorder="1" applyAlignment="1">
      <alignment horizontal="center"/>
    </xf>
    <xf numFmtId="2" fontId="2" fillId="0" borderId="0" xfId="0" applyNumberFormat="1" applyFont="1"/>
    <xf numFmtId="14" fontId="6" fillId="5" borderId="7" xfId="0" applyNumberFormat="1" applyFont="1" applyFill="1" applyBorder="1"/>
    <xf numFmtId="44" fontId="6" fillId="6" borderId="0" xfId="0" applyNumberFormat="1" applyFont="1" applyFill="1" applyAlignment="1">
      <alignment horizontal="center"/>
    </xf>
    <xf numFmtId="0" fontId="7" fillId="6" borderId="9" xfId="0" applyFont="1" applyFill="1" applyBorder="1" applyAlignment="1">
      <alignment horizontal="center"/>
    </xf>
    <xf numFmtId="165" fontId="6" fillId="7" borderId="6" xfId="0" applyNumberFormat="1" applyFont="1" applyFill="1" applyBorder="1"/>
    <xf numFmtId="0" fontId="6" fillId="6" borderId="9" xfId="0" applyFont="1" applyFill="1" applyBorder="1" applyAlignment="1">
      <alignment horizontal="center"/>
    </xf>
    <xf numFmtId="44" fontId="6" fillId="7" borderId="6" xfId="2" applyFont="1" applyFill="1" applyBorder="1"/>
    <xf numFmtId="165" fontId="7" fillId="7" borderId="6" xfId="0" applyNumberFormat="1" applyFont="1" applyFill="1" applyBorder="1"/>
    <xf numFmtId="14" fontId="7" fillId="5" borderId="7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5" xfId="0" applyFont="1" applyFill="1" applyBorder="1"/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16" fontId="0" fillId="0" borderId="0" xfId="0" applyNumberFormat="1"/>
    <xf numFmtId="16" fontId="10" fillId="2" borderId="6" xfId="0" applyNumberFormat="1" applyFont="1" applyFill="1" applyBorder="1"/>
    <xf numFmtId="0" fontId="10" fillId="2" borderId="6" xfId="0" applyFont="1" applyFill="1" applyBorder="1" applyAlignment="1">
      <alignment horizontal="left"/>
    </xf>
    <xf numFmtId="0" fontId="10" fillId="2" borderId="6" xfId="0" applyFont="1" applyFill="1" applyBorder="1"/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/>
    <xf numFmtId="0" fontId="11" fillId="2" borderId="2" xfId="0" applyFont="1" applyFill="1" applyBorder="1" applyAlignment="1">
      <alignment horizontal="right"/>
    </xf>
    <xf numFmtId="0" fontId="11" fillId="2" borderId="3" xfId="0" applyFont="1" applyFill="1" applyBorder="1" applyAlignment="1">
      <alignment horizontal="right"/>
    </xf>
    <xf numFmtId="165" fontId="4" fillId="8" borderId="6" xfId="0" applyNumberFormat="1" applyFont="1" applyFill="1" applyBorder="1"/>
    <xf numFmtId="44" fontId="11" fillId="2" borderId="10" xfId="0" applyNumberFormat="1" applyFont="1" applyFill="1" applyBorder="1"/>
    <xf numFmtId="44" fontId="5" fillId="2" borderId="10" xfId="0" applyNumberFormat="1" applyFont="1" applyFill="1" applyBorder="1"/>
    <xf numFmtId="0" fontId="7" fillId="9" borderId="6" xfId="0" applyFont="1" applyFill="1" applyBorder="1" applyAlignment="1">
      <alignment horizontal="center"/>
    </xf>
    <xf numFmtId="165" fontId="4" fillId="8" borderId="7" xfId="0" applyNumberFormat="1" applyFont="1" applyFill="1" applyBorder="1" applyAlignment="1">
      <alignment horizontal="center"/>
    </xf>
    <xf numFmtId="44" fontId="11" fillId="2" borderId="8" xfId="0" applyNumberFormat="1" applyFont="1" applyFill="1" applyBorder="1"/>
    <xf numFmtId="44" fontId="5" fillId="2" borderId="8" xfId="0" applyNumberFormat="1" applyFont="1" applyFill="1" applyBorder="1"/>
    <xf numFmtId="44" fontId="7" fillId="9" borderId="6" xfId="2" applyFont="1" applyFill="1" applyBorder="1" applyAlignment="1">
      <alignment horizontal="center"/>
    </xf>
    <xf numFmtId="165" fontId="4" fillId="8" borderId="6" xfId="0" applyNumberFormat="1" applyFont="1" applyFill="1" applyBorder="1" applyAlignment="1">
      <alignment horizontal="center"/>
    </xf>
    <xf numFmtId="14" fontId="6" fillId="5" borderId="4" xfId="0" applyNumberFormat="1" applyFont="1" applyFill="1" applyBorder="1" applyAlignment="1">
      <alignment horizontal="left"/>
    </xf>
    <xf numFmtId="1" fontId="9" fillId="6" borderId="0" xfId="2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44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6" fillId="6" borderId="0" xfId="1" applyNumberFormat="1" applyFont="1" applyFill="1" applyBorder="1" applyAlignment="1">
      <alignment vertical="top"/>
    </xf>
    <xf numFmtId="44" fontId="7" fillId="7" borderId="6" xfId="2" applyFont="1" applyFill="1" applyBorder="1" applyAlignment="1">
      <alignment horizontal="center"/>
    </xf>
    <xf numFmtId="0" fontId="7" fillId="5" borderId="7" xfId="0" applyFont="1" applyFill="1" applyBorder="1"/>
    <xf numFmtId="14" fontId="7" fillId="5" borderId="7" xfId="0" applyNumberFormat="1" applyFont="1" applyFill="1" applyBorder="1"/>
    <xf numFmtId="0" fontId="7" fillId="5" borderId="7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14" fontId="6" fillId="5" borderId="11" xfId="0" applyNumberFormat="1" applyFont="1" applyFill="1" applyBorder="1" applyAlignment="1">
      <alignment horizontal="left"/>
    </xf>
    <xf numFmtId="0" fontId="6" fillId="6" borderId="11" xfId="0" applyFont="1" applyFill="1" applyBorder="1" applyAlignment="1">
      <alignment horizontal="center"/>
    </xf>
    <xf numFmtId="166" fontId="6" fillId="6" borderId="0" xfId="1" applyNumberFormat="1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3" fillId="0" borderId="0" xfId="0" applyFont="1"/>
    <xf numFmtId="165" fontId="0" fillId="0" borderId="0" xfId="0" applyNumberFormat="1"/>
    <xf numFmtId="44" fontId="7" fillId="9" borderId="6" xfId="0" applyNumberFormat="1" applyFont="1" applyFill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7271-DF5F-4C89-BB64-3C44475F5F78}">
  <dimension ref="A1:Q81"/>
  <sheetViews>
    <sheetView tabSelected="1" topLeftCell="A26" workbookViewId="0">
      <selection activeCell="I9" sqref="I9"/>
    </sheetView>
  </sheetViews>
  <sheetFormatPr baseColWidth="10" defaultRowHeight="15" x14ac:dyDescent="0.25"/>
  <sheetData>
    <row r="1" spans="1:17" ht="16.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 t="s">
        <v>1</v>
      </c>
    </row>
    <row r="2" spans="1:17" ht="15.75" thickBot="1" x14ac:dyDescent="0.3">
      <c r="A2" s="5" t="s">
        <v>2</v>
      </c>
      <c r="B2" s="5" t="s">
        <v>3</v>
      </c>
      <c r="C2" s="5" t="s">
        <v>4</v>
      </c>
      <c r="D2" s="6" t="s">
        <v>5</v>
      </c>
      <c r="E2" s="7" t="s">
        <v>6</v>
      </c>
      <c r="F2" s="8" t="s">
        <v>7</v>
      </c>
      <c r="G2" s="7" t="s">
        <v>8</v>
      </c>
      <c r="H2" s="8" t="s">
        <v>6</v>
      </c>
      <c r="I2" s="8" t="s">
        <v>7</v>
      </c>
      <c r="J2" s="8" t="s">
        <v>9</v>
      </c>
      <c r="K2" s="8" t="s">
        <v>10</v>
      </c>
      <c r="L2" s="9" t="s">
        <v>11</v>
      </c>
      <c r="M2" s="9" t="s">
        <v>11</v>
      </c>
      <c r="N2" s="9" t="s">
        <v>12</v>
      </c>
      <c r="O2" s="9" t="s">
        <v>13</v>
      </c>
      <c r="P2" s="10" t="s">
        <v>14</v>
      </c>
      <c r="Q2" s="11">
        <f>P25+P53+P81+P108</f>
        <v>53678</v>
      </c>
    </row>
    <row r="3" spans="1:17" ht="15.75" thickBot="1" x14ac:dyDescent="0.3">
      <c r="A3" s="12"/>
      <c r="B3" s="12"/>
      <c r="C3" s="12" t="s">
        <v>15</v>
      </c>
      <c r="D3" s="13">
        <v>23.5</v>
      </c>
      <c r="E3" s="14">
        <v>26</v>
      </c>
      <c r="F3" s="15">
        <v>23.5</v>
      </c>
      <c r="G3" s="14">
        <v>26</v>
      </c>
      <c r="H3" s="15">
        <v>11</v>
      </c>
      <c r="I3" s="15">
        <v>23.5</v>
      </c>
      <c r="J3" s="15">
        <v>23.5</v>
      </c>
      <c r="K3" s="15">
        <v>23.5</v>
      </c>
      <c r="L3" s="15">
        <v>19.5</v>
      </c>
      <c r="M3" s="16">
        <v>22</v>
      </c>
      <c r="N3" s="17">
        <v>0</v>
      </c>
      <c r="O3" s="17">
        <v>24.5</v>
      </c>
      <c r="P3" s="18"/>
    </row>
    <row r="4" spans="1:17" ht="15.75" thickBot="1" x14ac:dyDescent="0.3">
      <c r="A4" s="19">
        <v>46265</v>
      </c>
      <c r="B4" s="20">
        <v>15784</v>
      </c>
      <c r="C4" s="21" t="s">
        <v>16</v>
      </c>
      <c r="D4" s="22"/>
      <c r="E4" s="23">
        <v>70</v>
      </c>
      <c r="F4" s="24"/>
      <c r="G4" s="25"/>
      <c r="H4" s="24"/>
      <c r="I4" s="22"/>
      <c r="J4" s="24"/>
      <c r="K4" s="22"/>
      <c r="L4" s="26"/>
      <c r="M4" s="26"/>
      <c r="N4" s="26"/>
      <c r="O4" s="26"/>
      <c r="P4" s="27">
        <f>D3*D4+E3*E4+F3*F4+G3*G4+H3*H4+J3*J4+I3*I4+K3*K4+L3*L4+M3*M4+N3*N4+O3*O4</f>
        <v>1820</v>
      </c>
    </row>
    <row r="5" spans="1:17" ht="15.75" thickBot="1" x14ac:dyDescent="0.3">
      <c r="A5" s="19">
        <v>46265</v>
      </c>
      <c r="B5" s="20">
        <v>15783</v>
      </c>
      <c r="C5" s="28" t="s">
        <v>17</v>
      </c>
      <c r="D5" s="29"/>
      <c r="E5" s="30">
        <v>20</v>
      </c>
      <c r="F5" s="31"/>
      <c r="G5" s="31"/>
      <c r="H5" s="31"/>
      <c r="I5" s="31"/>
      <c r="J5" s="29"/>
      <c r="K5" s="31"/>
      <c r="L5" s="32"/>
      <c r="M5" s="31"/>
      <c r="N5" s="31"/>
      <c r="O5" s="31"/>
      <c r="P5" s="33">
        <f>D3*D5+E3*E5+F3*F5+G3*G5+H3*H5+J3*J5+I3*I5+K3*K5+L3*L5+M3*M5+N3*N5+O3*O5</f>
        <v>520</v>
      </c>
    </row>
    <row r="6" spans="1:17" ht="15.75" thickBot="1" x14ac:dyDescent="0.3">
      <c r="A6" s="19">
        <v>46265</v>
      </c>
      <c r="B6" s="20">
        <v>7878</v>
      </c>
      <c r="C6" s="28" t="s">
        <v>18</v>
      </c>
      <c r="D6" s="22"/>
      <c r="E6" s="23">
        <v>99</v>
      </c>
      <c r="F6" s="22"/>
      <c r="G6" s="23"/>
      <c r="H6" s="22"/>
      <c r="I6" s="22"/>
      <c r="J6" s="22"/>
      <c r="K6" s="22"/>
      <c r="L6" s="34"/>
      <c r="M6" s="22"/>
      <c r="N6" s="22"/>
      <c r="O6" s="22"/>
      <c r="P6" s="27">
        <f>D3*D6+E3*E6+F3*F6+G3*G6+H3*H6+J3*J6+I3*I6+K3*K6+L3*L6+M3*M6+N3*N6+O3*O6</f>
        <v>2574</v>
      </c>
    </row>
    <row r="7" spans="1:17" ht="15.75" thickBot="1" x14ac:dyDescent="0.3">
      <c r="A7" s="19">
        <v>46265</v>
      </c>
      <c r="B7" s="20">
        <v>15780</v>
      </c>
      <c r="C7" s="21" t="s">
        <v>19</v>
      </c>
      <c r="D7" s="22"/>
      <c r="E7" s="23">
        <v>20</v>
      </c>
      <c r="F7" s="22"/>
      <c r="G7" s="23"/>
      <c r="H7" s="22"/>
      <c r="I7" s="22"/>
      <c r="J7" s="22"/>
      <c r="K7" s="22"/>
      <c r="L7" s="34"/>
      <c r="M7" s="22"/>
      <c r="N7" s="22"/>
      <c r="O7" s="22"/>
      <c r="P7" s="27">
        <f>D3*D7+E3*E7+F3*F7+G3*G7+H3*H7+J3*J7+I3*I7+K3*K7+L3*L7+M3*M7+N3*N7+O3*O7</f>
        <v>520</v>
      </c>
    </row>
    <row r="8" spans="1:17" ht="15.75" thickBot="1" x14ac:dyDescent="0.3">
      <c r="A8" s="19">
        <v>46267</v>
      </c>
      <c r="B8" s="20">
        <v>13609</v>
      </c>
      <c r="C8" s="28" t="s">
        <v>18</v>
      </c>
      <c r="D8" s="22"/>
      <c r="E8" s="23">
        <v>63</v>
      </c>
      <c r="F8" s="22"/>
      <c r="G8" s="23"/>
      <c r="H8" s="22"/>
      <c r="I8" s="22"/>
      <c r="J8" s="22"/>
      <c r="K8" s="22"/>
      <c r="L8" s="35"/>
      <c r="M8" s="22"/>
      <c r="N8" s="22"/>
      <c r="O8" s="22"/>
      <c r="P8" s="27">
        <f>D3*D8+E3*E8+F3*F8+G3*G8+H3*H8+J3*J8+I3*I8+K3*K8+L3*L8+M3*M8+N3*N8+O3*O8</f>
        <v>1638</v>
      </c>
      <c r="Q8" s="36"/>
    </row>
    <row r="9" spans="1:17" ht="15.75" thickBot="1" x14ac:dyDescent="0.3">
      <c r="A9" s="19">
        <v>46267</v>
      </c>
      <c r="B9" s="20">
        <v>15733</v>
      </c>
      <c r="C9" s="37" t="s">
        <v>16</v>
      </c>
      <c r="D9" s="29"/>
      <c r="E9" s="23">
        <v>40</v>
      </c>
      <c r="F9" s="29"/>
      <c r="G9" s="29"/>
      <c r="H9" s="29"/>
      <c r="I9" s="29"/>
      <c r="J9" s="29"/>
      <c r="K9" s="29"/>
      <c r="L9" s="38"/>
      <c r="M9" s="29"/>
      <c r="N9" s="29"/>
      <c r="O9" s="29"/>
      <c r="P9" s="33">
        <f>D3*D9+E3*E9+F3*F9+G3*G9+H3*H9+J3*J9+I3*I9+K3*K9+L3*L9+M3*M9+N3*N9+O3*O9</f>
        <v>1040</v>
      </c>
    </row>
    <row r="10" spans="1:17" ht="15.75" thickBot="1" x14ac:dyDescent="0.3">
      <c r="A10" s="19">
        <v>46266</v>
      </c>
      <c r="B10" s="20">
        <v>15794</v>
      </c>
      <c r="C10" s="21" t="s">
        <v>17</v>
      </c>
      <c r="D10" s="29"/>
      <c r="E10" s="23">
        <v>20</v>
      </c>
      <c r="F10" s="29"/>
      <c r="G10" s="29"/>
      <c r="H10" s="29"/>
      <c r="I10" s="29"/>
      <c r="J10" s="29"/>
      <c r="K10" s="29"/>
      <c r="L10" s="32"/>
      <c r="M10" s="29"/>
      <c r="N10" s="29"/>
      <c r="O10" s="29"/>
      <c r="P10" s="39">
        <f>E3*E10</f>
        <v>520</v>
      </c>
    </row>
    <row r="11" spans="1:17" ht="15.75" thickBot="1" x14ac:dyDescent="0.3">
      <c r="A11" s="19">
        <v>46268</v>
      </c>
      <c r="B11" s="20">
        <v>15739</v>
      </c>
      <c r="C11" s="21" t="s">
        <v>17</v>
      </c>
      <c r="D11" s="29"/>
      <c r="E11" s="23">
        <v>60</v>
      </c>
      <c r="F11" s="29"/>
      <c r="G11" s="29"/>
      <c r="H11" s="29"/>
      <c r="I11" s="29"/>
      <c r="J11" s="29"/>
      <c r="K11" s="29"/>
      <c r="L11" s="38"/>
      <c r="M11" s="29"/>
      <c r="N11" s="29"/>
      <c r="O11" s="29"/>
      <c r="P11" s="33">
        <f>D3*D11+E3*E11+F5*F11+G5*G11+H5*H11+J3*J11+I5*I11+K3*K11+L3*L11+M3*M11+N5*N11+O5*O11</f>
        <v>1560</v>
      </c>
      <c r="Q11" s="40"/>
    </row>
    <row r="12" spans="1:17" ht="15.75" thickBot="1" x14ac:dyDescent="0.3">
      <c r="A12" s="19">
        <v>46268</v>
      </c>
      <c r="B12" s="20">
        <v>15737</v>
      </c>
      <c r="C12" s="21" t="s">
        <v>19</v>
      </c>
      <c r="D12" s="29"/>
      <c r="E12" s="29">
        <v>30</v>
      </c>
      <c r="F12" s="29"/>
      <c r="G12" s="29"/>
      <c r="H12" s="29"/>
      <c r="I12" s="29"/>
      <c r="J12" s="29"/>
      <c r="K12" s="29"/>
      <c r="L12" s="38"/>
      <c r="M12" s="29"/>
      <c r="N12" s="29"/>
      <c r="O12" s="29"/>
      <c r="P12" s="33">
        <f>D3*D12+E3*E12+F3*F12+G3*G12+H3*H12+J3*J12+I3*I12+K3*K12+L3*L12+M3*M12+N3*N12+O3*O12</f>
        <v>780</v>
      </c>
    </row>
    <row r="13" spans="1:17" ht="15.75" thickBot="1" x14ac:dyDescent="0.3">
      <c r="A13" s="19">
        <v>46268</v>
      </c>
      <c r="B13" s="20">
        <v>7147</v>
      </c>
      <c r="C13" s="28" t="s">
        <v>20</v>
      </c>
      <c r="D13" s="22"/>
      <c r="E13" s="23">
        <v>143</v>
      </c>
      <c r="F13" s="22"/>
      <c r="G13" s="23"/>
      <c r="H13" s="22"/>
      <c r="I13" s="22"/>
      <c r="J13" s="22"/>
      <c r="K13" s="22"/>
      <c r="L13" s="38"/>
      <c r="M13" s="29"/>
      <c r="N13" s="29"/>
      <c r="O13" s="29"/>
      <c r="P13" s="33">
        <f>D3*D13+E3*E13+F3*F13+G3*G13+H3*H13+J3*J13+I3*I13+K3*K13+L3*L13+M3*M13+N3*N13+O3*O13</f>
        <v>3718</v>
      </c>
    </row>
    <row r="14" spans="1:17" ht="15.75" thickBot="1" x14ac:dyDescent="0.3">
      <c r="A14" s="19">
        <v>46268</v>
      </c>
      <c r="B14" s="20">
        <v>13638</v>
      </c>
      <c r="C14" s="21" t="s">
        <v>18</v>
      </c>
      <c r="D14" s="29"/>
      <c r="E14" s="23">
        <v>42</v>
      </c>
      <c r="F14" s="23"/>
      <c r="G14" s="23"/>
      <c r="H14" s="23"/>
      <c r="I14" s="23"/>
      <c r="J14" s="29"/>
      <c r="K14" s="29"/>
      <c r="L14" s="35"/>
      <c r="M14" s="22"/>
      <c r="N14" s="22"/>
      <c r="O14" s="22"/>
      <c r="P14" s="27">
        <f>D3*D14+E3*E14+F3*F14+G3*G14+H3*H14+J3*J14+I3*I14+K3*K14+L3*L14+M3*M14+N3*N14+O3*O14</f>
        <v>1092</v>
      </c>
    </row>
    <row r="15" spans="1:17" ht="15.75" thickBot="1" x14ac:dyDescent="0.3">
      <c r="A15" s="19">
        <v>46269</v>
      </c>
      <c r="B15" s="20">
        <v>15745</v>
      </c>
      <c r="C15" s="28" t="s">
        <v>16</v>
      </c>
      <c r="D15" s="22"/>
      <c r="E15" s="23">
        <v>120</v>
      </c>
      <c r="F15" s="22"/>
      <c r="G15" s="23"/>
      <c r="H15" s="22"/>
      <c r="I15" s="22"/>
      <c r="J15" s="22"/>
      <c r="K15" s="22"/>
      <c r="L15" s="38"/>
      <c r="M15" s="29"/>
      <c r="N15" s="29"/>
      <c r="O15" s="29"/>
      <c r="P15" s="33">
        <f>D3*D15+E3*E15+F3*F15+G3*G15+H3*H15+J3*J15+I3*I15+K3*K15+L3*L15+M3*M15+N3*N15+O3*O15</f>
        <v>3120</v>
      </c>
    </row>
    <row r="16" spans="1:17" ht="15.75" thickBot="1" x14ac:dyDescent="0.3">
      <c r="A16" s="19">
        <v>46270</v>
      </c>
      <c r="B16" s="20">
        <v>6198</v>
      </c>
      <c r="C16" s="41" t="s">
        <v>21</v>
      </c>
      <c r="D16" s="22"/>
      <c r="E16" s="29">
        <v>12</v>
      </c>
      <c r="F16" s="42"/>
      <c r="G16" s="42"/>
      <c r="H16" s="42"/>
      <c r="I16" s="42"/>
      <c r="J16" s="29"/>
      <c r="K16" s="29"/>
      <c r="L16" s="35"/>
      <c r="M16" s="23"/>
      <c r="N16" s="22"/>
      <c r="O16" s="22"/>
      <c r="P16" s="27">
        <f>D3*D16+E3*E16+F3*F16+G3*G16+H3*H16+J3*J16+I3*I16+K3*K16+L3*L16+M3*M16+N3*N16+O3*O16</f>
        <v>312</v>
      </c>
    </row>
    <row r="17" spans="1:17" ht="15.75" thickBot="1" x14ac:dyDescent="0.3">
      <c r="A17" s="19"/>
      <c r="B17" s="20"/>
      <c r="C17" s="41"/>
      <c r="D17" s="22"/>
      <c r="E17" s="23"/>
      <c r="F17" s="24"/>
      <c r="G17" s="25"/>
      <c r="H17" s="24"/>
      <c r="I17" s="24"/>
      <c r="J17" s="22"/>
      <c r="K17" s="22"/>
      <c r="L17" s="35"/>
      <c r="M17" s="22"/>
      <c r="N17" s="22"/>
      <c r="O17" s="22"/>
      <c r="P17" s="27">
        <f>D3*D17+E3*E17+F3*F17+G3*G17+H3*H17+J3*J17+I3*I17+K3*K17+L3*L17+M3*M17+N3*N17+O3*O17</f>
        <v>0</v>
      </c>
    </row>
    <row r="18" spans="1:17" ht="15.75" thickBot="1" x14ac:dyDescent="0.3">
      <c r="A18" s="19"/>
      <c r="B18" s="20"/>
      <c r="C18" s="41"/>
      <c r="D18" s="22"/>
      <c r="E18" s="23"/>
      <c r="F18" s="24"/>
      <c r="G18" s="25"/>
      <c r="H18" s="24"/>
      <c r="I18" s="24"/>
      <c r="J18" s="22"/>
      <c r="K18" s="22"/>
      <c r="L18" s="35"/>
      <c r="M18" s="22"/>
      <c r="N18" s="22"/>
      <c r="O18" s="43"/>
      <c r="P18" s="44">
        <f>D3*D18+E3*E18+F3*F18+G3*G18+H3*H18+I3*I18+J3*J18+K3*K18+L3*L18+M3*M18+N3*N18+O3*O18</f>
        <v>0</v>
      </c>
    </row>
    <row r="19" spans="1:17" ht="15.75" thickBot="1" x14ac:dyDescent="0.3">
      <c r="A19" s="19"/>
      <c r="B19" s="20"/>
      <c r="C19" s="41"/>
      <c r="D19" s="22"/>
      <c r="E19" s="29"/>
      <c r="F19" s="29"/>
      <c r="G19" s="29"/>
      <c r="H19" s="29"/>
      <c r="I19" s="29"/>
      <c r="J19" s="29"/>
      <c r="K19" s="29"/>
      <c r="L19" s="38"/>
      <c r="M19" s="29"/>
      <c r="N19" s="29"/>
      <c r="O19" s="45"/>
      <c r="P19" s="44">
        <f>D3*D19+E3*E19+F3*F19+G4*G19+H4*H19+I4*I19+J4*J19+K4*K19+L3*L19+M4*M19+N4*N19+O4*O19</f>
        <v>0</v>
      </c>
    </row>
    <row r="20" spans="1:17" ht="15.75" thickBot="1" x14ac:dyDescent="0.3">
      <c r="A20" s="19"/>
      <c r="B20" s="20"/>
      <c r="C20" s="41"/>
      <c r="D20" s="22"/>
      <c r="E20" s="23"/>
      <c r="F20" s="22"/>
      <c r="G20" s="22"/>
      <c r="H20" s="22"/>
      <c r="I20" s="22"/>
      <c r="J20" s="22"/>
      <c r="K20" s="22"/>
      <c r="L20" s="35"/>
      <c r="M20" s="22"/>
      <c r="N20" s="22"/>
      <c r="O20" s="43"/>
      <c r="P20" s="46">
        <f>D3*D20+E5*E20+F5*F20+G5*G20+H5*H20+I5*I20+J5*J20+K5*K20+L4*L20+M5*M20+N5*N20+O5*O20</f>
        <v>0</v>
      </c>
    </row>
    <row r="21" spans="1:17" ht="15.75" thickBot="1" x14ac:dyDescent="0.3">
      <c r="A21" s="19"/>
      <c r="B21" s="20"/>
      <c r="C21" s="41"/>
      <c r="D21" s="22"/>
      <c r="E21" s="22"/>
      <c r="F21" s="22"/>
      <c r="G21" s="22"/>
      <c r="H21" s="22"/>
      <c r="I21" s="22"/>
      <c r="J21" s="22"/>
      <c r="K21" s="22"/>
      <c r="L21" s="35"/>
      <c r="M21" s="22"/>
      <c r="N21" s="22"/>
      <c r="O21" s="43"/>
      <c r="P21" s="47">
        <f>D3*D21+E3*E21+F3*F21+G3*G21+H3*H21+I3*I21+J3*J21+K3*K21+L3*L21+M3*M21+N3*N21+O3*O21</f>
        <v>0</v>
      </c>
    </row>
    <row r="22" spans="1:17" ht="15.75" thickBot="1" x14ac:dyDescent="0.3">
      <c r="A22" s="48"/>
      <c r="B22" s="49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  <c r="P22" s="47">
        <f>D3*D22+E3*E22+F3*F22+G3*G22+H3*H22+I3*I22+J3*J22+K3*K22+L3*L22+M3*M22+N3*N22+O3*O22</f>
        <v>0</v>
      </c>
      <c r="Q22" s="53"/>
    </row>
    <row r="23" spans="1:17" ht="15.75" thickBot="1" x14ac:dyDescent="0.3">
      <c r="A23" s="54"/>
      <c r="B23" s="55"/>
      <c r="C23" s="56"/>
      <c r="D23" s="57"/>
      <c r="E23" s="57"/>
      <c r="F23" s="57"/>
      <c r="G23" s="57"/>
      <c r="H23" s="57"/>
      <c r="I23" s="57"/>
      <c r="J23" s="58"/>
      <c r="K23" s="58"/>
      <c r="L23" s="58"/>
      <c r="M23" s="59" t="s">
        <v>22</v>
      </c>
      <c r="N23" s="60"/>
      <c r="O23" s="60"/>
      <c r="P23" s="61">
        <f>SUM(P4:P21)</f>
        <v>19214</v>
      </c>
    </row>
    <row r="24" spans="1:17" ht="15.75" thickBot="1" x14ac:dyDescent="0.3">
      <c r="A24" s="62" t="s">
        <v>23</v>
      </c>
      <c r="B24" s="62"/>
      <c r="C24" s="63"/>
      <c r="D24" s="64">
        <f t="shared" ref="D24:O24" si="0">SUM(D4:D22)</f>
        <v>0</v>
      </c>
      <c r="E24" s="64">
        <f t="shared" si="0"/>
        <v>739</v>
      </c>
      <c r="F24" s="64">
        <f t="shared" si="0"/>
        <v>0</v>
      </c>
      <c r="G24" s="64">
        <f t="shared" si="0"/>
        <v>0</v>
      </c>
      <c r="H24" s="64">
        <f t="shared" si="0"/>
        <v>0</v>
      </c>
      <c r="I24" s="64">
        <f t="shared" si="0"/>
        <v>0</v>
      </c>
      <c r="J24" s="64">
        <f t="shared" si="0"/>
        <v>0</v>
      </c>
      <c r="K24" s="64">
        <f t="shared" si="0"/>
        <v>0</v>
      </c>
      <c r="L24" s="64">
        <f t="shared" si="0"/>
        <v>0</v>
      </c>
      <c r="M24" s="64">
        <f t="shared" si="0"/>
        <v>0</v>
      </c>
      <c r="N24" s="64">
        <f t="shared" si="0"/>
        <v>0</v>
      </c>
      <c r="O24" s="64">
        <f t="shared" si="0"/>
        <v>0</v>
      </c>
      <c r="P24" s="65">
        <f>SUM(D24:E24:F24:G24:H24:I24:J24:K24:L24:M24:N24:O24)</f>
        <v>739</v>
      </c>
    </row>
    <row r="25" spans="1:17" ht="15.75" thickBot="1" x14ac:dyDescent="0.3">
      <c r="A25" s="66" t="s">
        <v>24</v>
      </c>
      <c r="B25" s="66"/>
      <c r="C25" s="67"/>
      <c r="D25" s="68">
        <f t="shared" ref="D25:O25" si="1">D3*D24</f>
        <v>0</v>
      </c>
      <c r="E25" s="68">
        <f t="shared" si="1"/>
        <v>19214</v>
      </c>
      <c r="F25" s="68">
        <f t="shared" si="1"/>
        <v>0</v>
      </c>
      <c r="G25" s="68">
        <f t="shared" si="1"/>
        <v>0</v>
      </c>
      <c r="H25" s="68">
        <f t="shared" si="1"/>
        <v>0</v>
      </c>
      <c r="I25" s="68">
        <f t="shared" si="1"/>
        <v>0</v>
      </c>
      <c r="J25" s="68">
        <f t="shared" si="1"/>
        <v>0</v>
      </c>
      <c r="K25" s="68">
        <f t="shared" si="1"/>
        <v>0</v>
      </c>
      <c r="L25" s="68">
        <f t="shared" si="1"/>
        <v>0</v>
      </c>
      <c r="M25" s="68">
        <f t="shared" si="1"/>
        <v>0</v>
      </c>
      <c r="N25" s="68">
        <f t="shared" si="1"/>
        <v>0</v>
      </c>
      <c r="O25" s="68">
        <f t="shared" si="1"/>
        <v>0</v>
      </c>
      <c r="P25" s="69">
        <f>SUM(D25:O25)</f>
        <v>19214</v>
      </c>
    </row>
    <row r="29" spans="1:17" ht="16.5" thickBot="1" x14ac:dyDescent="0.35">
      <c r="A29" s="1" t="s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</row>
    <row r="30" spans="1:17" ht="15.75" thickBot="1" x14ac:dyDescent="0.3">
      <c r="A30" s="5" t="s">
        <v>2</v>
      </c>
      <c r="B30" s="5" t="s">
        <v>3</v>
      </c>
      <c r="C30" s="5" t="s">
        <v>4</v>
      </c>
      <c r="D30" s="6" t="s">
        <v>5</v>
      </c>
      <c r="E30" s="7" t="s">
        <v>6</v>
      </c>
      <c r="F30" s="8" t="s">
        <v>7</v>
      </c>
      <c r="G30" s="7" t="s">
        <v>8</v>
      </c>
      <c r="H30" s="8" t="s">
        <v>6</v>
      </c>
      <c r="I30" s="8" t="s">
        <v>7</v>
      </c>
      <c r="J30" s="8" t="s">
        <v>9</v>
      </c>
      <c r="K30" s="8" t="s">
        <v>10</v>
      </c>
      <c r="L30" s="9" t="s">
        <v>11</v>
      </c>
      <c r="M30" s="9" t="s">
        <v>26</v>
      </c>
      <c r="N30" s="9" t="s">
        <v>11</v>
      </c>
      <c r="O30" s="9">
        <v>0.8</v>
      </c>
      <c r="P30" s="10" t="s">
        <v>14</v>
      </c>
    </row>
    <row r="31" spans="1:17" ht="15.75" thickBot="1" x14ac:dyDescent="0.3">
      <c r="A31" s="12"/>
      <c r="B31" s="12"/>
      <c r="C31" s="12"/>
      <c r="D31" s="13">
        <v>23.5</v>
      </c>
      <c r="E31" s="14">
        <v>26</v>
      </c>
      <c r="F31" s="15">
        <v>23.5</v>
      </c>
      <c r="G31" s="14"/>
      <c r="H31" s="15">
        <v>11</v>
      </c>
      <c r="I31" s="15">
        <v>23.5</v>
      </c>
      <c r="J31" s="15">
        <v>23.5</v>
      </c>
      <c r="K31" s="14">
        <v>26</v>
      </c>
      <c r="L31" s="14">
        <v>22</v>
      </c>
      <c r="M31" s="17">
        <v>23</v>
      </c>
      <c r="N31" s="17">
        <v>19.5</v>
      </c>
      <c r="O31" s="17">
        <v>26</v>
      </c>
      <c r="P31" s="18"/>
    </row>
    <row r="32" spans="1:17" ht="15.75" thickBot="1" x14ac:dyDescent="0.3">
      <c r="A32" s="19">
        <v>46265</v>
      </c>
      <c r="B32" s="20">
        <v>15787</v>
      </c>
      <c r="C32" s="70" t="s">
        <v>27</v>
      </c>
      <c r="D32" s="29"/>
      <c r="E32" s="23">
        <v>20</v>
      </c>
      <c r="F32" s="42"/>
      <c r="G32" s="42"/>
      <c r="H32" s="42"/>
      <c r="I32" s="42"/>
      <c r="J32" s="42"/>
      <c r="K32" s="29"/>
      <c r="L32" s="71"/>
      <c r="M32" s="31"/>
      <c r="N32" s="31"/>
      <c r="O32" s="72"/>
      <c r="P32" s="33">
        <f>D31*D32+E31*E32+F31*F32+G31*G32+H31*H32+J31*J32+I31*Q4025+K31*K32+L31*L32+M31*M32+N31*N32+O31*O32</f>
        <v>520</v>
      </c>
    </row>
    <row r="33" spans="1:16" ht="15.75" thickBot="1" x14ac:dyDescent="0.3">
      <c r="A33" s="19">
        <v>46265</v>
      </c>
      <c r="B33" s="20">
        <v>7019</v>
      </c>
      <c r="C33" s="21" t="s">
        <v>28</v>
      </c>
      <c r="D33" s="22"/>
      <c r="E33" s="30">
        <v>54</v>
      </c>
      <c r="F33" s="26"/>
      <c r="G33" s="73"/>
      <c r="H33" s="26"/>
      <c r="I33" s="26"/>
      <c r="J33" s="22"/>
      <c r="K33" s="74"/>
      <c r="L33" s="26"/>
      <c r="M33" s="26"/>
      <c r="N33" s="26"/>
      <c r="O33" s="26"/>
      <c r="P33" s="27">
        <f>D31*D33+E31*E33+F31*F33+G31*G33+H31*H33+J31*J33+I31*I33+K31*K33+L31*L33+M31*M33+N31*N33+O31*O33</f>
        <v>1404</v>
      </c>
    </row>
    <row r="34" spans="1:16" ht="15.75" thickBot="1" x14ac:dyDescent="0.3">
      <c r="A34" s="19">
        <v>46265</v>
      </c>
      <c r="B34" s="20">
        <v>18642</v>
      </c>
      <c r="C34" s="21" t="s">
        <v>29</v>
      </c>
      <c r="D34" s="29"/>
      <c r="E34" s="23">
        <v>52</v>
      </c>
      <c r="F34" s="29"/>
      <c r="G34" s="29"/>
      <c r="H34" s="29"/>
      <c r="I34" s="29"/>
      <c r="J34" s="29"/>
      <c r="K34" s="29"/>
      <c r="L34" s="31"/>
      <c r="M34" s="29"/>
      <c r="N34" s="29"/>
      <c r="O34" s="29"/>
      <c r="P34" s="33">
        <f>D31*D34+E31*E34+F31*F34+G31*G34+H31*H34+J31*J34+I31*I34+K31*K34+L31*L34+M31*M34+N31*N34+O31*O34</f>
        <v>1352</v>
      </c>
    </row>
    <row r="35" spans="1:16" ht="15.75" thickBot="1" x14ac:dyDescent="0.3">
      <c r="A35" s="19">
        <v>46265</v>
      </c>
      <c r="B35" s="20">
        <v>4953</v>
      </c>
      <c r="C35" s="21" t="s">
        <v>30</v>
      </c>
      <c r="D35" s="29"/>
      <c r="E35" s="23">
        <v>80</v>
      </c>
      <c r="F35" s="29"/>
      <c r="G35" s="29"/>
      <c r="H35" s="29"/>
      <c r="I35" s="29"/>
      <c r="J35" s="29"/>
      <c r="K35" s="29"/>
      <c r="L35" s="31"/>
      <c r="M35" s="29"/>
      <c r="N35" s="29"/>
      <c r="O35" s="29"/>
      <c r="P35" s="33">
        <f>D31*D35+E31*E35+F31*F35+G31*G35+H31*H35+J31*J35+I31*I35+K31*K35+L31*L35+M31*M35+N31*N35+O31*O35</f>
        <v>2080</v>
      </c>
    </row>
    <row r="36" spans="1:16" ht="15.75" thickBot="1" x14ac:dyDescent="0.3">
      <c r="A36" s="19">
        <v>46265</v>
      </c>
      <c r="B36" s="20">
        <v>18643</v>
      </c>
      <c r="C36" s="21" t="s">
        <v>31</v>
      </c>
      <c r="D36" s="29"/>
      <c r="E36" s="23">
        <v>30</v>
      </c>
      <c r="F36" s="22"/>
      <c r="G36" s="23"/>
      <c r="H36" s="22"/>
      <c r="I36" s="22"/>
      <c r="J36" s="22"/>
      <c r="K36" s="22"/>
      <c r="L36" s="22"/>
      <c r="M36" s="22"/>
      <c r="N36" s="22"/>
      <c r="O36" s="22"/>
      <c r="P36" s="27">
        <f>D31*D36+E31*E36+F31*F36+G31*G36+H31*H36+J31*J36+I31*I36+K31*K36+L31*L36+M31*M36+N31*N36+O31*O36</f>
        <v>780</v>
      </c>
    </row>
    <row r="37" spans="1:16" ht="15.75" thickBot="1" x14ac:dyDescent="0.3">
      <c r="A37" s="19">
        <v>46267</v>
      </c>
      <c r="B37" s="20">
        <v>4804</v>
      </c>
      <c r="C37" s="21" t="s">
        <v>30</v>
      </c>
      <c r="D37" s="29"/>
      <c r="E37" s="23">
        <v>100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3">
        <f>D31*D37+E31*E37+F31*F37+G31*G37+H31*H37+J31*J37+I31*I37+K31*K37+L31*L37+M31*M37+N31*N37+O31*O37</f>
        <v>2600</v>
      </c>
    </row>
    <row r="38" spans="1:16" ht="15.75" thickBot="1" x14ac:dyDescent="0.3">
      <c r="A38" s="19">
        <v>46266</v>
      </c>
      <c r="B38" s="20">
        <v>6973</v>
      </c>
      <c r="C38" s="28" t="s">
        <v>32</v>
      </c>
      <c r="D38" s="22"/>
      <c r="E38" s="23">
        <v>28</v>
      </c>
      <c r="F38" s="22"/>
      <c r="G38" s="23"/>
      <c r="H38" s="22"/>
      <c r="I38" s="22"/>
      <c r="J38" s="22"/>
      <c r="K38" s="22"/>
      <c r="L38" s="29"/>
      <c r="M38" s="29"/>
      <c r="N38" s="29"/>
      <c r="O38" s="29"/>
      <c r="P38" s="33">
        <f>D31*D38+E31*E38+F31*F38+G31*G38+H31*H38+J31*J38+I31*I38+K31*K38+L31*L38+M31*M38+N37*N38+O31*O38</f>
        <v>728</v>
      </c>
    </row>
    <row r="39" spans="1:16" ht="15.75" thickBot="1" x14ac:dyDescent="0.3">
      <c r="A39" s="19">
        <v>46266</v>
      </c>
      <c r="B39" s="20">
        <v>7038</v>
      </c>
      <c r="C39" s="41" t="s">
        <v>28</v>
      </c>
      <c r="D39" s="22"/>
      <c r="E39" s="29">
        <v>27</v>
      </c>
      <c r="F39" s="42"/>
      <c r="G39" s="42"/>
      <c r="H39" s="42"/>
      <c r="I39" s="42"/>
      <c r="J39" s="29"/>
      <c r="K39" s="29"/>
      <c r="L39" s="22"/>
      <c r="M39" s="22"/>
      <c r="N39" s="22"/>
      <c r="O39" s="75"/>
      <c r="P39" s="27">
        <f>D31*D39+E31*E39+F31*F39+G31*G39+H31*H39+J31*J39+I31*I39+K31*K39+L31*L39+M31*M39+N31*N39+O31*O39</f>
        <v>702</v>
      </c>
    </row>
    <row r="40" spans="1:16" ht="15.75" thickBot="1" x14ac:dyDescent="0.3">
      <c r="A40" s="19">
        <v>46268</v>
      </c>
      <c r="B40" s="20">
        <v>13973</v>
      </c>
      <c r="C40" s="41" t="s">
        <v>28</v>
      </c>
      <c r="D40" s="22"/>
      <c r="E40" s="23">
        <v>27</v>
      </c>
      <c r="F40" s="24"/>
      <c r="G40" s="25"/>
      <c r="H40" s="24"/>
      <c r="I40" s="24"/>
      <c r="J40" s="22"/>
      <c r="K40" s="23"/>
      <c r="L40" s="22"/>
      <c r="M40" s="22"/>
      <c r="N40" s="22"/>
      <c r="O40" s="22"/>
      <c r="P40" s="27">
        <f>D32*D40+E31*E40+F32*F40+G32*G40+H32*H40+J32*J40+I32*I40+K32*K40+L32*L40+M32*M40+N32*N40+O32*O40</f>
        <v>702</v>
      </c>
    </row>
    <row r="41" spans="1:16" ht="15.75" thickBot="1" x14ac:dyDescent="0.3">
      <c r="A41" s="19">
        <v>46268</v>
      </c>
      <c r="B41" s="20">
        <v>1828</v>
      </c>
      <c r="C41" s="41" t="s">
        <v>31</v>
      </c>
      <c r="D41" s="22"/>
      <c r="E41" s="23">
        <v>63</v>
      </c>
      <c r="F41" s="24"/>
      <c r="G41" s="25"/>
      <c r="H41" s="24"/>
      <c r="I41" s="24"/>
      <c r="J41" s="22"/>
      <c r="K41" s="23"/>
      <c r="L41" s="23">
        <v>12</v>
      </c>
      <c r="M41" s="22"/>
      <c r="N41" s="22"/>
      <c r="O41" s="29"/>
      <c r="P41" s="33">
        <f>D31*D41+E31*E41+F31*F41+G31*G41+H31*H41+J31*J41+I31*I41+K31*K41+L31*L41+M31*M41+N31*N41+O31*O41</f>
        <v>1902</v>
      </c>
    </row>
    <row r="42" spans="1:16" ht="15.75" thickBot="1" x14ac:dyDescent="0.3">
      <c r="A42" s="19">
        <v>46268</v>
      </c>
      <c r="B42" s="20">
        <v>1827</v>
      </c>
      <c r="C42" s="21" t="s">
        <v>29</v>
      </c>
      <c r="D42" s="29"/>
      <c r="E42" s="29">
        <v>43</v>
      </c>
      <c r="F42" s="42"/>
      <c r="G42" s="42"/>
      <c r="H42" s="42"/>
      <c r="I42" s="29"/>
      <c r="J42" s="29"/>
      <c r="K42" s="29">
        <v>5</v>
      </c>
      <c r="L42" s="76">
        <v>10</v>
      </c>
      <c r="M42" s="29"/>
      <c r="N42" s="29"/>
      <c r="O42" s="29"/>
      <c r="P42" s="33">
        <f>D31*D42+E31*E42+F31*F42+G31*G42+H31*H42+J31*J42+I31*I42+K31*K42+L31*L42+M31*M42+N31*N42+O31*O42</f>
        <v>1468</v>
      </c>
    </row>
    <row r="43" spans="1:16" ht="15.75" thickBot="1" x14ac:dyDescent="0.3">
      <c r="A43" s="19">
        <v>46268</v>
      </c>
      <c r="B43" s="20">
        <v>15742</v>
      </c>
      <c r="C43" s="21" t="s">
        <v>27</v>
      </c>
      <c r="D43" s="29"/>
      <c r="E43" s="23">
        <v>100</v>
      </c>
      <c r="F43" s="24"/>
      <c r="G43" s="25"/>
      <c r="H43" s="24"/>
      <c r="I43" s="24"/>
      <c r="J43" s="22"/>
      <c r="K43" s="23"/>
      <c r="L43" s="23"/>
      <c r="M43" s="23"/>
      <c r="N43" s="22"/>
      <c r="O43" s="22"/>
      <c r="P43" s="33">
        <f>D31*D43+E31*E43+F32*F43+G32*G43+H32*H43+J32*J43+I32*I43+K31*K43+L31*L43+M32*M43+N32*N43+O32*O43</f>
        <v>2600</v>
      </c>
    </row>
    <row r="44" spans="1:16" ht="15.75" thickBot="1" x14ac:dyDescent="0.3">
      <c r="A44" s="19">
        <v>46269</v>
      </c>
      <c r="B44" s="20">
        <v>2602</v>
      </c>
      <c r="C44" s="21" t="s">
        <v>30</v>
      </c>
      <c r="D44" s="22"/>
      <c r="E44" s="23">
        <v>50</v>
      </c>
      <c r="F44" s="24"/>
      <c r="G44" s="25"/>
      <c r="H44" s="24"/>
      <c r="I44" s="24"/>
      <c r="J44" s="22"/>
      <c r="K44" s="23"/>
      <c r="L44" s="23">
        <v>10</v>
      </c>
      <c r="M44" s="23"/>
      <c r="N44" s="22"/>
      <c r="O44" s="22"/>
      <c r="P44" s="27">
        <f>D31*D44+E31*E44+F31*F44+G31*G44+H31*H44+J31*J44+I31*I44+K31*K44+L31*L44+M31*M44+N31*N44+O31*O44</f>
        <v>1520</v>
      </c>
    </row>
    <row r="45" spans="1:16" ht="15.75" thickBot="1" x14ac:dyDescent="0.3">
      <c r="A45" s="19">
        <v>46269</v>
      </c>
      <c r="B45" s="20">
        <v>6912</v>
      </c>
      <c r="C45" s="41" t="s">
        <v>32</v>
      </c>
      <c r="D45" s="22"/>
      <c r="E45" s="23">
        <v>64</v>
      </c>
      <c r="F45" s="24"/>
      <c r="G45" s="42"/>
      <c r="H45" s="24"/>
      <c r="I45" s="24"/>
      <c r="J45" s="22"/>
      <c r="K45" s="22"/>
      <c r="L45" s="22"/>
      <c r="M45" s="22"/>
      <c r="N45" s="22"/>
      <c r="O45" s="22"/>
      <c r="P45" s="77">
        <f>D31*D45+E31*E45+F31*F45+G31*G45+H31*H45+J31*J45+I31*I45+K31*K45+L31*L45+M31*M45+N31*N45+O31*O45</f>
        <v>1664</v>
      </c>
    </row>
    <row r="46" spans="1:16" ht="15.75" thickBot="1" x14ac:dyDescent="0.3">
      <c r="A46" s="19">
        <v>46269</v>
      </c>
      <c r="B46" s="20">
        <v>13989</v>
      </c>
      <c r="C46" s="41" t="s">
        <v>28</v>
      </c>
      <c r="D46" s="22"/>
      <c r="E46" s="22">
        <v>30</v>
      </c>
      <c r="F46" s="22"/>
      <c r="G46" s="22"/>
      <c r="H46" s="22"/>
      <c r="I46" s="22"/>
      <c r="J46" s="22"/>
      <c r="K46" s="22"/>
      <c r="L46" s="22">
        <v>6</v>
      </c>
      <c r="M46" s="22"/>
      <c r="N46" s="22"/>
      <c r="O46" s="22"/>
      <c r="P46" s="44">
        <f>D31*D46+E31*E46+F31*F46+G31*G46+H31*H46+I31*I46+J31*J46+K31*K46+L31*L46+M31*M46+N31*N46+O31*O46</f>
        <v>912</v>
      </c>
    </row>
    <row r="47" spans="1:16" ht="15.75" thickBot="1" x14ac:dyDescent="0.3">
      <c r="A47" s="19">
        <v>46270</v>
      </c>
      <c r="B47" s="20">
        <v>4663</v>
      </c>
      <c r="C47" s="41" t="s">
        <v>28</v>
      </c>
      <c r="D47" s="22"/>
      <c r="E47" s="22">
        <v>30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44">
        <f>D32*D47+E31*E47+F32*F47+G32*G47+H32*H47+I32*I47+J32*J47+K32*K47+L32*L47+M32*M47+N32*N47+O32*O47</f>
        <v>780</v>
      </c>
    </row>
    <row r="48" spans="1:16" ht="15.75" thickBot="1" x14ac:dyDescent="0.3">
      <c r="A48" s="19"/>
      <c r="B48" s="49"/>
      <c r="C48" s="7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33">
        <f>D31*D48+E31*E48+F31*F48+G31*G48+H31*H48+J31*J48+I31*I48+K31*K48+L31*L48+M31*M48+N31*N48+O31*O48</f>
        <v>0</v>
      </c>
    </row>
    <row r="49" spans="1:16" ht="15.75" thickBot="1" x14ac:dyDescent="0.3">
      <c r="A49" s="79"/>
      <c r="B49" s="80"/>
      <c r="C49" s="7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43"/>
      <c r="P49" s="44">
        <f>D31*D49+E31*E49+F37*F49+G37*G49+H37*H49+I37*I49+J37*J49+K37*K49+L36*L49+M37*M49+N37*N49+O37*O49</f>
        <v>0</v>
      </c>
    </row>
    <row r="50" spans="1:16" ht="15.75" thickBot="1" x14ac:dyDescent="0.3">
      <c r="A50" s="79"/>
      <c r="B50" s="80"/>
      <c r="C50" s="50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47">
        <f>D31*D50+E32*E50+F32*F50+G32*G50+H32*H50+I32*I50+J32*J50+K32*K50+L32*L50+M32*M50+N32*N50+O32*O50</f>
        <v>0</v>
      </c>
    </row>
    <row r="51" spans="1:16" ht="15.75" thickBot="1" x14ac:dyDescent="0.3">
      <c r="A51" s="54"/>
      <c r="B51" s="55"/>
      <c r="C51" s="56"/>
      <c r="D51" s="57"/>
      <c r="E51" s="57"/>
      <c r="F51" s="57"/>
      <c r="G51" s="57"/>
      <c r="H51" s="57"/>
      <c r="I51" s="57"/>
      <c r="J51" s="58"/>
      <c r="K51" s="58"/>
      <c r="L51" s="58"/>
      <c r="M51" s="59" t="s">
        <v>22</v>
      </c>
      <c r="N51" s="60"/>
      <c r="O51" s="60"/>
      <c r="P51" s="61">
        <f>SUM(P32:P50)</f>
        <v>21714</v>
      </c>
    </row>
    <row r="52" spans="1:16" ht="15.75" thickBot="1" x14ac:dyDescent="0.3">
      <c r="A52" s="62" t="s">
        <v>23</v>
      </c>
      <c r="B52" s="62"/>
      <c r="C52" s="63"/>
      <c r="D52" s="64">
        <f>SUM(D32:D51)</f>
        <v>0</v>
      </c>
      <c r="E52" s="64">
        <f t="shared" ref="E52:O52" si="2">SUM(E32:E49)</f>
        <v>798</v>
      </c>
      <c r="F52" s="64">
        <f t="shared" si="2"/>
        <v>0</v>
      </c>
      <c r="G52" s="64">
        <f t="shared" si="2"/>
        <v>0</v>
      </c>
      <c r="H52" s="64">
        <f t="shared" si="2"/>
        <v>0</v>
      </c>
      <c r="I52" s="64">
        <f t="shared" si="2"/>
        <v>0</v>
      </c>
      <c r="J52" s="64">
        <f t="shared" si="2"/>
        <v>0</v>
      </c>
      <c r="K52" s="64">
        <f t="shared" si="2"/>
        <v>5</v>
      </c>
      <c r="L52" s="64">
        <f t="shared" si="2"/>
        <v>38</v>
      </c>
      <c r="M52" s="64">
        <f t="shared" si="2"/>
        <v>0</v>
      </c>
      <c r="N52" s="64">
        <f t="shared" si="2"/>
        <v>0</v>
      </c>
      <c r="O52" s="64">
        <f t="shared" si="2"/>
        <v>0</v>
      </c>
      <c r="P52" s="65">
        <f>SUM(D52:E52:F52:G52:H52:I52:J52:K52:L52:M52:N52:O52)</f>
        <v>841</v>
      </c>
    </row>
    <row r="53" spans="1:16" ht="15.75" thickBot="1" x14ac:dyDescent="0.3">
      <c r="A53" s="66" t="s">
        <v>24</v>
      </c>
      <c r="B53" s="66"/>
      <c r="C53" s="67"/>
      <c r="D53" s="68">
        <f t="shared" ref="D53:O53" si="3">D31*D52</f>
        <v>0</v>
      </c>
      <c r="E53" s="68">
        <f t="shared" si="3"/>
        <v>20748</v>
      </c>
      <c r="F53" s="68">
        <f t="shared" si="3"/>
        <v>0</v>
      </c>
      <c r="G53" s="68">
        <f t="shared" si="3"/>
        <v>0</v>
      </c>
      <c r="H53" s="68">
        <f t="shared" si="3"/>
        <v>0</v>
      </c>
      <c r="I53" s="68">
        <f t="shared" si="3"/>
        <v>0</v>
      </c>
      <c r="J53" s="68">
        <f t="shared" si="3"/>
        <v>0</v>
      </c>
      <c r="K53" s="68">
        <f t="shared" si="3"/>
        <v>130</v>
      </c>
      <c r="L53" s="68">
        <f t="shared" si="3"/>
        <v>836</v>
      </c>
      <c r="M53" s="68">
        <f t="shared" si="3"/>
        <v>0</v>
      </c>
      <c r="N53" s="68">
        <f t="shared" si="3"/>
        <v>0</v>
      </c>
      <c r="O53" s="68">
        <f t="shared" si="3"/>
        <v>0</v>
      </c>
      <c r="P53" s="69">
        <f>SUM(D53:O53)</f>
        <v>21714</v>
      </c>
    </row>
    <row r="57" spans="1:16" ht="16.5" thickBot="1" x14ac:dyDescent="0.35">
      <c r="A57" s="81" t="s">
        <v>33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3"/>
    </row>
    <row r="58" spans="1:16" ht="15.75" thickBot="1" x14ac:dyDescent="0.3">
      <c r="A58" s="5" t="s">
        <v>2</v>
      </c>
      <c r="B58" s="5" t="s">
        <v>3</v>
      </c>
      <c r="C58" s="5" t="s">
        <v>4</v>
      </c>
      <c r="D58" s="6">
        <v>4</v>
      </c>
      <c r="E58" s="7" t="s">
        <v>6</v>
      </c>
      <c r="F58" s="8" t="s">
        <v>7</v>
      </c>
      <c r="G58" s="7" t="s">
        <v>8</v>
      </c>
      <c r="H58" s="8" t="s">
        <v>6</v>
      </c>
      <c r="I58" s="8" t="s">
        <v>7</v>
      </c>
      <c r="J58" s="8" t="s">
        <v>9</v>
      </c>
      <c r="K58" s="8" t="s">
        <v>10</v>
      </c>
      <c r="L58" s="9" t="s">
        <v>11</v>
      </c>
      <c r="M58" s="9" t="s">
        <v>26</v>
      </c>
      <c r="N58" s="9" t="s">
        <v>34</v>
      </c>
      <c r="O58" s="9" t="s">
        <v>13</v>
      </c>
      <c r="P58" s="10" t="s">
        <v>14</v>
      </c>
    </row>
    <row r="59" spans="1:16" ht="15.75" thickBot="1" x14ac:dyDescent="0.3">
      <c r="A59" s="12"/>
      <c r="B59" s="12"/>
      <c r="C59" s="12"/>
      <c r="D59" s="13">
        <v>23.5</v>
      </c>
      <c r="E59" s="14">
        <v>26</v>
      </c>
      <c r="F59" s="15">
        <v>23.5</v>
      </c>
      <c r="G59" s="14"/>
      <c r="H59" s="15">
        <v>11</v>
      </c>
      <c r="I59" s="15">
        <v>23.5</v>
      </c>
      <c r="J59" s="15">
        <v>22</v>
      </c>
      <c r="K59" s="15">
        <v>23.5</v>
      </c>
      <c r="L59" s="14">
        <v>22</v>
      </c>
      <c r="M59" s="17">
        <v>23</v>
      </c>
      <c r="N59" s="17">
        <v>26.5</v>
      </c>
      <c r="O59" s="17">
        <v>24.5</v>
      </c>
      <c r="P59" s="18"/>
    </row>
    <row r="60" spans="1:16" ht="15.75" thickBot="1" x14ac:dyDescent="0.3">
      <c r="A60" s="19">
        <v>46265</v>
      </c>
      <c r="B60" s="20">
        <v>3111</v>
      </c>
      <c r="C60" s="21" t="s">
        <v>35</v>
      </c>
      <c r="D60" s="29"/>
      <c r="E60" s="23">
        <v>72</v>
      </c>
      <c r="F60" s="42"/>
      <c r="G60" s="42"/>
      <c r="H60" s="42"/>
      <c r="I60" s="42"/>
      <c r="J60" s="42"/>
      <c r="K60" s="29"/>
      <c r="L60" s="23"/>
      <c r="M60" s="31"/>
      <c r="N60" s="31"/>
      <c r="O60" s="31"/>
      <c r="P60" s="33">
        <f>D59*D60+E59*E60+F59*F60+G59*G60+H59*H60+J59*J60+I59*Q4062+K59*K60+L59*L60+M59*M60+N59*N60+O59*O60</f>
        <v>1872</v>
      </c>
    </row>
    <row r="61" spans="1:16" ht="15.75" thickBot="1" x14ac:dyDescent="0.3">
      <c r="A61" s="19">
        <v>46266</v>
      </c>
      <c r="B61" s="20">
        <v>15974</v>
      </c>
      <c r="C61" s="21" t="s">
        <v>36</v>
      </c>
      <c r="D61" s="29"/>
      <c r="E61" s="30">
        <v>78</v>
      </c>
      <c r="F61" s="26"/>
      <c r="G61" s="73"/>
      <c r="H61" s="26"/>
      <c r="I61" s="26"/>
      <c r="J61" s="22"/>
      <c r="K61" s="74"/>
      <c r="L61" s="30"/>
      <c r="M61" s="26"/>
      <c r="N61" s="26"/>
      <c r="O61" s="74"/>
      <c r="P61" s="27">
        <f>D59*D61+E59*E61+F59*F61+G59*G61+H59*H61+J59*J61+I59*I61+K59*K61+L59*L61+M59*M61+N59*N61+O59*O61</f>
        <v>2028</v>
      </c>
    </row>
    <row r="62" spans="1:16" ht="15.75" thickBot="1" x14ac:dyDescent="0.3">
      <c r="A62" s="19">
        <v>46267</v>
      </c>
      <c r="B62" s="20">
        <v>7784</v>
      </c>
      <c r="C62" s="21" t="s">
        <v>37</v>
      </c>
      <c r="D62" s="29"/>
      <c r="E62" s="23">
        <v>52</v>
      </c>
      <c r="F62" s="29"/>
      <c r="G62" s="29"/>
      <c r="H62" s="29"/>
      <c r="I62" s="29"/>
      <c r="J62" s="29"/>
      <c r="K62" s="29"/>
      <c r="L62" s="30"/>
      <c r="M62" s="29"/>
      <c r="N62" s="29"/>
      <c r="O62" s="29"/>
      <c r="P62" s="33">
        <f>D59*D62+E59*E62+F59*F62+G59*G62+H59*H62+J59*J62+I59*I62+K59*K62+L59*L62+M59*M62+N59*N62+O59*O62</f>
        <v>1352</v>
      </c>
    </row>
    <row r="63" spans="1:16" ht="15.75" thickBot="1" x14ac:dyDescent="0.3">
      <c r="A63" s="19">
        <v>46266</v>
      </c>
      <c r="B63" s="20">
        <v>4215</v>
      </c>
      <c r="C63" s="21" t="s">
        <v>38</v>
      </c>
      <c r="D63" s="29"/>
      <c r="E63" s="23"/>
      <c r="F63" s="22"/>
      <c r="G63" s="23"/>
      <c r="H63" s="22"/>
      <c r="I63" s="22"/>
      <c r="J63" s="22"/>
      <c r="K63" s="22"/>
      <c r="L63" s="30">
        <v>20</v>
      </c>
      <c r="M63" s="22"/>
      <c r="N63" s="22"/>
      <c r="O63" s="22"/>
      <c r="P63" s="27">
        <f>D59*D63+E59*E63+F59*F63+G59*G63+H59*H63+J59*J63+I59*I63+K59*K63+L59*L63+M59*M63+N59*N63+O59*O63</f>
        <v>440</v>
      </c>
    </row>
    <row r="64" spans="1:16" ht="15.75" thickBot="1" x14ac:dyDescent="0.3">
      <c r="A64" s="19">
        <v>46267</v>
      </c>
      <c r="B64" s="20">
        <v>7794</v>
      </c>
      <c r="C64" s="28" t="s">
        <v>38</v>
      </c>
      <c r="D64" s="22"/>
      <c r="E64" s="23">
        <v>36</v>
      </c>
      <c r="F64" s="22"/>
      <c r="G64" s="23"/>
      <c r="H64" s="22"/>
      <c r="I64" s="22"/>
      <c r="J64" s="22"/>
      <c r="K64" s="22"/>
      <c r="L64" s="22"/>
      <c r="M64" s="22"/>
      <c r="N64" s="22"/>
      <c r="O64" s="22"/>
      <c r="P64" s="27">
        <f>D59*D64+E59*E64+F59*F64+G59*G64+H59*H64+J59*J64+I59*I64+K59*K64+L59*L64+M59*M64+N59*N64+O59*O64</f>
        <v>936</v>
      </c>
    </row>
    <row r="65" spans="1:17" ht="15.75" thickBot="1" x14ac:dyDescent="0.3">
      <c r="A65" s="19">
        <v>46268</v>
      </c>
      <c r="B65" s="20">
        <v>3955</v>
      </c>
      <c r="C65" s="84" t="s">
        <v>36</v>
      </c>
      <c r="D65" s="85"/>
      <c r="E65" s="23">
        <v>42</v>
      </c>
      <c r="F65" s="22"/>
      <c r="G65" s="23"/>
      <c r="H65" s="22"/>
      <c r="I65" s="22"/>
      <c r="J65" s="22"/>
      <c r="K65" s="22"/>
      <c r="L65" s="22"/>
      <c r="M65" s="22"/>
      <c r="N65" s="22"/>
      <c r="O65" s="22"/>
      <c r="P65" s="27">
        <f>D60*D65+E59*E65+F60*F65+G60*G65+H60*H65+J60*J65+I60*I65+K60*K65+L59*L65+M60*M65+N60*N65+O60*O65</f>
        <v>1092</v>
      </c>
    </row>
    <row r="66" spans="1:17" ht="15.75" thickBot="1" x14ac:dyDescent="0.3">
      <c r="A66" s="19">
        <v>46268</v>
      </c>
      <c r="B66" s="20">
        <v>4246</v>
      </c>
      <c r="C66" s="84" t="s">
        <v>39</v>
      </c>
      <c r="D66" s="85"/>
      <c r="E66" s="23"/>
      <c r="F66" s="42"/>
      <c r="G66" s="42"/>
      <c r="H66" s="42"/>
      <c r="I66" s="29"/>
      <c r="J66" s="29"/>
      <c r="K66" s="29"/>
      <c r="L66" s="86">
        <v>10</v>
      </c>
      <c r="M66" s="29"/>
      <c r="N66" s="23"/>
      <c r="O66" s="29"/>
      <c r="P66" s="27">
        <f>D61*D66+E59*E66+F61*F66+G61*G66+H61*H66+J61*J66+I61*I66+K61*K66+L59*L66+M61*M66+N61*N66+O61*O66</f>
        <v>220</v>
      </c>
    </row>
    <row r="67" spans="1:17" ht="15.75" thickBot="1" x14ac:dyDescent="0.3">
      <c r="A67" s="19">
        <v>46269</v>
      </c>
      <c r="B67" s="20">
        <v>5857</v>
      </c>
      <c r="C67" s="21" t="s">
        <v>37</v>
      </c>
      <c r="D67" s="85"/>
      <c r="E67" s="23">
        <v>31</v>
      </c>
      <c r="F67" s="24"/>
      <c r="G67" s="25"/>
      <c r="H67" s="24"/>
      <c r="I67" s="24"/>
      <c r="J67" s="22"/>
      <c r="K67" s="22"/>
      <c r="L67" s="22"/>
      <c r="M67" s="22"/>
      <c r="N67" s="22"/>
      <c r="O67" s="22"/>
      <c r="P67" s="27">
        <f>D62*D67+E59*E67+F62*F67+G62*G67+H62*H67+J62*J67+I62*I67+K62*K67+L59*L67+M62*M67+N59*N67+O62*O67</f>
        <v>806</v>
      </c>
    </row>
    <row r="68" spans="1:17" ht="15.75" thickBot="1" x14ac:dyDescent="0.3">
      <c r="A68" s="19">
        <v>46269</v>
      </c>
      <c r="B68" s="20">
        <v>3129</v>
      </c>
      <c r="C68" s="84" t="s">
        <v>36</v>
      </c>
      <c r="D68" s="85"/>
      <c r="E68" s="23">
        <v>30</v>
      </c>
      <c r="F68" s="22"/>
      <c r="G68" s="23"/>
      <c r="H68" s="22"/>
      <c r="I68" s="22"/>
      <c r="J68" s="22"/>
      <c r="K68" s="22"/>
      <c r="L68" s="22"/>
      <c r="M68" s="22"/>
      <c r="N68" s="22"/>
      <c r="O68" s="22"/>
      <c r="P68" s="27">
        <f>D59*D68+E59*E68+F59*F68+G59*G68+H59*H68+J59*J68+I59*I68+K59*K68+L59*L68+M59*M68+N59*N68+O59*O68</f>
        <v>780</v>
      </c>
      <c r="Q68" s="36"/>
    </row>
    <row r="69" spans="1:17" ht="15.75" thickBot="1" x14ac:dyDescent="0.3">
      <c r="A69" s="19">
        <v>46269</v>
      </c>
      <c r="B69" s="20">
        <v>3128</v>
      </c>
      <c r="C69" s="84" t="s">
        <v>40</v>
      </c>
      <c r="D69" s="87"/>
      <c r="E69" s="23">
        <v>67</v>
      </c>
      <c r="F69" s="22"/>
      <c r="G69" s="23"/>
      <c r="H69" s="22"/>
      <c r="I69" s="22"/>
      <c r="J69" s="22"/>
      <c r="K69" s="22"/>
      <c r="L69" s="22"/>
      <c r="M69" s="22"/>
      <c r="N69" s="22"/>
      <c r="O69" s="22"/>
      <c r="P69" s="27">
        <f>D59*D69+E59*E69+F59*F69+G59*G69+H59*H69+J59*J69+I59*I69+K59*K69+L59*L69+M59*M69+N59*N69+O59*O69</f>
        <v>1742</v>
      </c>
    </row>
    <row r="70" spans="1:17" ht="15.75" thickBot="1" x14ac:dyDescent="0.3">
      <c r="A70" s="19">
        <v>46270</v>
      </c>
      <c r="B70" s="49">
        <v>5875</v>
      </c>
      <c r="C70" s="28" t="s">
        <v>37</v>
      </c>
      <c r="D70" s="22"/>
      <c r="E70" s="23">
        <v>30</v>
      </c>
      <c r="F70" s="22"/>
      <c r="G70" s="23"/>
      <c r="H70" s="22"/>
      <c r="I70" s="22"/>
      <c r="J70" s="22"/>
      <c r="K70" s="22"/>
      <c r="L70" s="22"/>
      <c r="M70" s="22"/>
      <c r="N70" s="22"/>
      <c r="O70" s="22"/>
      <c r="P70" s="27">
        <f>D59*D70+E59*E70+F60*F70+G60*G70+H60*H70+J60*J70+I60*I70+K59*K70+L59*L70+M60*M70+N59*N70+O59*O70</f>
        <v>780</v>
      </c>
    </row>
    <row r="71" spans="1:17" ht="15.75" thickBot="1" x14ac:dyDescent="0.3">
      <c r="A71" s="19">
        <v>46270</v>
      </c>
      <c r="B71" s="49">
        <v>5883</v>
      </c>
      <c r="C71" s="28" t="s">
        <v>38</v>
      </c>
      <c r="D71" s="22"/>
      <c r="E71" s="23">
        <v>27</v>
      </c>
      <c r="F71" s="22"/>
      <c r="G71" s="23"/>
      <c r="H71" s="22"/>
      <c r="I71" s="22"/>
      <c r="J71" s="22"/>
      <c r="K71" s="22"/>
      <c r="L71" s="22"/>
      <c r="M71" s="22"/>
      <c r="N71" s="22"/>
      <c r="O71" s="22"/>
      <c r="P71" s="27">
        <f>D59*D71+E59*E71+F61*F71+G61*G71+H61*H71+J61*J71+I61*I71+K59*K71+L59*L71+M61*M71+N61*N71+O61*O71</f>
        <v>702</v>
      </c>
    </row>
    <row r="72" spans="1:17" ht="15.75" thickBot="1" x14ac:dyDescent="0.3">
      <c r="A72" s="19"/>
      <c r="B72" s="49"/>
      <c r="C72" s="78"/>
      <c r="D72" s="87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43"/>
      <c r="P72" s="47">
        <f>D59*D72+E59*E72+F59*F72+G59*G72+H59*H72+I59*I72+J59*J72+K59*K72+L59*L72+M59*M72+N59*N72+O59*O72</f>
        <v>0</v>
      </c>
    </row>
    <row r="73" spans="1:17" ht="15.75" thickBot="1" x14ac:dyDescent="0.3">
      <c r="A73" s="19"/>
      <c r="B73" s="80"/>
      <c r="C73" s="78"/>
      <c r="D73" s="87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43"/>
      <c r="P73" s="47">
        <f>D59*D73+E59*E73+F60*F73+G60*G73+H60*H73+I60*I73+J60*J73+K60*K73+L59*L73+M60*M73+N59*N73+O60*O73</f>
        <v>0</v>
      </c>
    </row>
    <row r="74" spans="1:17" ht="15.75" thickBot="1" x14ac:dyDescent="0.3">
      <c r="A74" s="19"/>
      <c r="B74" s="20"/>
      <c r="C74" s="21"/>
      <c r="D74" s="87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9"/>
      <c r="P74" s="47">
        <f>D59*D74+E59*E74+F61*F74+G61*G74+H61*H74+I61*I74+J61*J74+K61*K74+L61*L74+M61*M74+N61*N74+O61*O74</f>
        <v>0</v>
      </c>
      <c r="Q74" s="90"/>
    </row>
    <row r="75" spans="1:17" ht="15.75" thickBot="1" x14ac:dyDescent="0.3">
      <c r="A75" s="19"/>
      <c r="B75" s="20"/>
      <c r="C75" s="41"/>
      <c r="D75" s="22"/>
      <c r="E75" s="22"/>
      <c r="F75" s="88"/>
      <c r="G75" s="88"/>
      <c r="H75" s="88"/>
      <c r="I75" s="88"/>
      <c r="J75" s="88"/>
      <c r="K75" s="88"/>
      <c r="L75" s="88"/>
      <c r="M75" s="88"/>
      <c r="N75" s="88"/>
      <c r="O75" s="89"/>
      <c r="P75" s="47" t="s">
        <v>41</v>
      </c>
      <c r="Q75" s="90"/>
    </row>
    <row r="76" spans="1:17" ht="15.75" thickBot="1" x14ac:dyDescent="0.3">
      <c r="A76" s="19"/>
      <c r="B76" s="20"/>
      <c r="C76" s="41"/>
      <c r="D76" s="22"/>
      <c r="E76" s="22"/>
      <c r="F76" s="88"/>
      <c r="G76" s="88"/>
      <c r="H76" s="88"/>
      <c r="I76" s="88"/>
      <c r="J76" s="88"/>
      <c r="K76" s="88"/>
      <c r="L76" s="88"/>
      <c r="M76" s="88"/>
      <c r="N76" s="88"/>
      <c r="O76" s="89"/>
      <c r="P76" s="47">
        <f>D60*D76+E59*E76+F63*F76+G63*G76+H63*H76+I63*I76+J63*J76+K63*K76+L63*L76+M63*M76+N63*N76+O63*O76</f>
        <v>0</v>
      </c>
      <c r="Q76" s="90"/>
    </row>
    <row r="77" spans="1:17" ht="15.75" thickBot="1" x14ac:dyDescent="0.3">
      <c r="A77" s="79"/>
      <c r="B77" s="80"/>
      <c r="C77" s="78"/>
      <c r="D77" s="87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43"/>
      <c r="P77" s="47">
        <f>D59*D77+E59*E77+F63*F77+G63*G77+H63*H77+I63*I77+J63*J77+K63*K77+L62*L77+M63*M77+N63*N77+O63*O77</f>
        <v>0</v>
      </c>
    </row>
    <row r="78" spans="1:17" ht="15.75" thickBot="1" x14ac:dyDescent="0.3">
      <c r="A78" s="79"/>
      <c r="B78" s="80"/>
      <c r="C78" s="78"/>
      <c r="D78" s="87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43"/>
      <c r="P78" s="47">
        <f>D59*D78+E59*E78+F64*F78+G64*G78+H64*H78+I64*I78+J64*J78+K64*K78+L63*L78+M64*M78+N64*N78+O64*O78</f>
        <v>0</v>
      </c>
    </row>
    <row r="79" spans="1:17" ht="15.75" thickBot="1" x14ac:dyDescent="0.3">
      <c r="A79" s="54"/>
      <c r="B79" s="55"/>
      <c r="C79" s="56"/>
      <c r="D79" s="57"/>
      <c r="E79" s="57"/>
      <c r="F79" s="57"/>
      <c r="G79" s="57"/>
      <c r="H79" s="57"/>
      <c r="I79" s="57"/>
      <c r="J79" s="58"/>
      <c r="K79" s="58"/>
      <c r="L79" s="58"/>
      <c r="M79" s="59" t="s">
        <v>22</v>
      </c>
      <c r="N79" s="60"/>
      <c r="O79" s="60"/>
      <c r="P79" s="61">
        <f>SUM(P60:P78)</f>
        <v>12750</v>
      </c>
      <c r="Q79" s="91"/>
    </row>
    <row r="80" spans="1:17" ht="15.75" thickBot="1" x14ac:dyDescent="0.3">
      <c r="A80" s="62" t="s">
        <v>23</v>
      </c>
      <c r="B80" s="62"/>
      <c r="C80" s="63"/>
      <c r="D80" s="64">
        <f>SUM(D60:D78)</f>
        <v>0</v>
      </c>
      <c r="E80" s="64">
        <f>SUM(E60:E78)</f>
        <v>465</v>
      </c>
      <c r="F80" s="64">
        <f t="shared" ref="F80:M80" si="4">SUM(F60:F72)</f>
        <v>0</v>
      </c>
      <c r="G80" s="64">
        <f t="shared" si="4"/>
        <v>0</v>
      </c>
      <c r="H80" s="64">
        <f t="shared" si="4"/>
        <v>0</v>
      </c>
      <c r="I80" s="64">
        <f t="shared" si="4"/>
        <v>0</v>
      </c>
      <c r="J80" s="64">
        <f t="shared" si="4"/>
        <v>0</v>
      </c>
      <c r="K80" s="64">
        <f t="shared" si="4"/>
        <v>0</v>
      </c>
      <c r="L80" s="92">
        <f>SUM(L60:L77)</f>
        <v>30</v>
      </c>
      <c r="M80" s="64">
        <f t="shared" si="4"/>
        <v>0</v>
      </c>
      <c r="N80" s="92">
        <f>SUM(N60:N73)</f>
        <v>0</v>
      </c>
      <c r="O80" s="64">
        <f>SUM(O60:O72)</f>
        <v>0</v>
      </c>
      <c r="P80" s="65">
        <f>SUM(D80:E80:F80:G80:H80:I80:J80:K80:L80:M80:N80:O80)</f>
        <v>495</v>
      </c>
    </row>
    <row r="81" spans="1:16" ht="15.75" thickBot="1" x14ac:dyDescent="0.3">
      <c r="A81" s="66" t="s">
        <v>24</v>
      </c>
      <c r="B81" s="66"/>
      <c r="C81" s="67"/>
      <c r="D81" s="68">
        <f t="shared" ref="D81:O81" si="5">D59*D80</f>
        <v>0</v>
      </c>
      <c r="E81" s="68">
        <f t="shared" si="5"/>
        <v>12090</v>
      </c>
      <c r="F81" s="68">
        <f t="shared" si="5"/>
        <v>0</v>
      </c>
      <c r="G81" s="68">
        <f t="shared" si="5"/>
        <v>0</v>
      </c>
      <c r="H81" s="68">
        <f t="shared" si="5"/>
        <v>0</v>
      </c>
      <c r="I81" s="68">
        <f t="shared" si="5"/>
        <v>0</v>
      </c>
      <c r="J81" s="68">
        <f t="shared" si="5"/>
        <v>0</v>
      </c>
      <c r="K81" s="68">
        <f t="shared" si="5"/>
        <v>0</v>
      </c>
      <c r="L81" s="68">
        <f>L59*L80</f>
        <v>660</v>
      </c>
      <c r="M81" s="68">
        <f t="shared" si="5"/>
        <v>0</v>
      </c>
      <c r="N81" s="68">
        <f t="shared" si="5"/>
        <v>0</v>
      </c>
      <c r="O81" s="68">
        <f t="shared" si="5"/>
        <v>0</v>
      </c>
      <c r="P81" s="65">
        <f>SUM(D81:O81)</f>
        <v>12750</v>
      </c>
    </row>
  </sheetData>
  <mergeCells count="6">
    <mergeCell ref="A1:P1"/>
    <mergeCell ref="P2:P3"/>
    <mergeCell ref="A29:P29"/>
    <mergeCell ref="P30:P31"/>
    <mergeCell ref="A57:P57"/>
    <mergeCell ref="P58:P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trejo</dc:creator>
  <cp:lastModifiedBy>laura trejo</cp:lastModifiedBy>
  <dcterms:created xsi:type="dcterms:W3CDTF">2026-09-08T21:10:55Z</dcterms:created>
  <dcterms:modified xsi:type="dcterms:W3CDTF">2026-09-08T21:11:53Z</dcterms:modified>
</cp:coreProperties>
</file>