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xiliar\Desktop\"/>
    </mc:Choice>
  </mc:AlternateContent>
  <xr:revisionPtr revIDLastSave="0" documentId="8_{43ED1919-4B0E-47A1-B078-0395D4B4F74C}" xr6:coauthVersionLast="47" xr6:coauthVersionMax="47" xr10:uidLastSave="{00000000-0000-0000-0000-000000000000}"/>
  <bookViews>
    <workbookView xWindow="-120" yWindow="-120" windowWidth="29040" windowHeight="15720" xr2:uid="{14C354C2-9E39-4821-8DD6-ECCCCC5463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61" i="1" l="1"/>
  <c r="Q462" i="1" s="1"/>
  <c r="P461" i="1"/>
  <c r="P462" i="1" s="1"/>
  <c r="O461" i="1"/>
  <c r="O462" i="1" s="1"/>
  <c r="N461" i="1"/>
  <c r="N462" i="1" s="1"/>
  <c r="M461" i="1"/>
  <c r="M462" i="1" s="1"/>
  <c r="L461" i="1"/>
  <c r="L462" i="1" s="1"/>
  <c r="K461" i="1"/>
  <c r="K462" i="1" s="1"/>
  <c r="J461" i="1"/>
  <c r="J462" i="1" s="1"/>
  <c r="I461" i="1"/>
  <c r="I462" i="1" s="1"/>
  <c r="H461" i="1"/>
  <c r="H462" i="1" s="1"/>
  <c r="G461" i="1"/>
  <c r="G462" i="1" s="1"/>
  <c r="F461" i="1"/>
  <c r="F462" i="1" s="1"/>
  <c r="E461" i="1"/>
  <c r="E462" i="1" s="1"/>
  <c r="D461" i="1"/>
  <c r="R460" i="1"/>
  <c r="R459" i="1"/>
  <c r="R458" i="1"/>
  <c r="R457" i="1"/>
  <c r="R456" i="1"/>
  <c r="R455" i="1"/>
  <c r="R454" i="1"/>
  <c r="R453" i="1"/>
  <c r="R452" i="1"/>
  <c r="R445" i="1"/>
  <c r="Q445" i="1"/>
  <c r="Q446" i="1" s="1"/>
  <c r="P445" i="1"/>
  <c r="P446" i="1" s="1"/>
  <c r="O445" i="1"/>
  <c r="O446" i="1" s="1"/>
  <c r="N445" i="1"/>
  <c r="N446" i="1" s="1"/>
  <c r="M445" i="1"/>
  <c r="M446" i="1" s="1"/>
  <c r="L445" i="1"/>
  <c r="L446" i="1" s="1"/>
  <c r="K445" i="1"/>
  <c r="K446" i="1" s="1"/>
  <c r="J445" i="1"/>
  <c r="J446" i="1" s="1"/>
  <c r="I445" i="1"/>
  <c r="I446" i="1" s="1"/>
  <c r="H445" i="1"/>
  <c r="H446" i="1" s="1"/>
  <c r="G445" i="1"/>
  <c r="G446" i="1" s="1"/>
  <c r="F445" i="1"/>
  <c r="F446" i="1" s="1"/>
  <c r="E445" i="1"/>
  <c r="E446" i="1" s="1"/>
  <c r="D445" i="1"/>
  <c r="D446" i="1" s="1"/>
  <c r="R446" i="1" s="1"/>
  <c r="R443" i="1"/>
  <c r="R442" i="1"/>
  <c r="R441" i="1"/>
  <c r="R440" i="1"/>
  <c r="R439" i="1"/>
  <c r="R444" i="1" s="1"/>
  <c r="Q431" i="1"/>
  <c r="Q432" i="1" s="1"/>
  <c r="P431" i="1"/>
  <c r="P432" i="1" s="1"/>
  <c r="O431" i="1"/>
  <c r="O432" i="1" s="1"/>
  <c r="N431" i="1"/>
  <c r="N432" i="1" s="1"/>
  <c r="M431" i="1"/>
  <c r="M432" i="1" s="1"/>
  <c r="L431" i="1"/>
  <c r="L432" i="1" s="1"/>
  <c r="K431" i="1"/>
  <c r="K432" i="1" s="1"/>
  <c r="J431" i="1"/>
  <c r="J432" i="1" s="1"/>
  <c r="I431" i="1"/>
  <c r="I432" i="1" s="1"/>
  <c r="H431" i="1"/>
  <c r="H432" i="1" s="1"/>
  <c r="G431" i="1"/>
  <c r="G432" i="1" s="1"/>
  <c r="F431" i="1"/>
  <c r="F432" i="1" s="1"/>
  <c r="E431" i="1"/>
  <c r="E432" i="1" s="1"/>
  <c r="D431" i="1"/>
  <c r="R429" i="1"/>
  <c r="R428" i="1"/>
  <c r="R427" i="1"/>
  <c r="R426" i="1"/>
  <c r="R425" i="1"/>
  <c r="R424" i="1"/>
  <c r="R423" i="1"/>
  <c r="Q416" i="1"/>
  <c r="Q417" i="1" s="1"/>
  <c r="P416" i="1"/>
  <c r="P417" i="1" s="1"/>
  <c r="O416" i="1"/>
  <c r="O417" i="1" s="1"/>
  <c r="N416" i="1"/>
  <c r="N417" i="1" s="1"/>
  <c r="M416" i="1"/>
  <c r="M417" i="1" s="1"/>
  <c r="L416" i="1"/>
  <c r="L417" i="1" s="1"/>
  <c r="K416" i="1"/>
  <c r="K417" i="1" s="1"/>
  <c r="J416" i="1"/>
  <c r="J417" i="1" s="1"/>
  <c r="I416" i="1"/>
  <c r="I417" i="1" s="1"/>
  <c r="H416" i="1"/>
  <c r="H417" i="1" s="1"/>
  <c r="G416" i="1"/>
  <c r="G417" i="1" s="1"/>
  <c r="F416" i="1"/>
  <c r="F417" i="1" s="1"/>
  <c r="E416" i="1"/>
  <c r="E417" i="1" s="1"/>
  <c r="D416" i="1"/>
  <c r="R414" i="1"/>
  <c r="R413" i="1"/>
  <c r="R412" i="1"/>
  <c r="R411" i="1"/>
  <c r="R410" i="1"/>
  <c r="R409" i="1"/>
  <c r="R408" i="1"/>
  <c r="R407" i="1"/>
  <c r="R415" i="1" s="1"/>
  <c r="Q400" i="1"/>
  <c r="Q401" i="1" s="1"/>
  <c r="P400" i="1"/>
  <c r="P401" i="1" s="1"/>
  <c r="O400" i="1"/>
  <c r="O401" i="1" s="1"/>
  <c r="N400" i="1"/>
  <c r="N401" i="1" s="1"/>
  <c r="M400" i="1"/>
  <c r="M401" i="1" s="1"/>
  <c r="L400" i="1"/>
  <c r="L401" i="1" s="1"/>
  <c r="K400" i="1"/>
  <c r="K401" i="1" s="1"/>
  <c r="J400" i="1"/>
  <c r="J401" i="1" s="1"/>
  <c r="I400" i="1"/>
  <c r="I401" i="1" s="1"/>
  <c r="H400" i="1"/>
  <c r="H401" i="1" s="1"/>
  <c r="G400" i="1"/>
  <c r="G401" i="1" s="1"/>
  <c r="F400" i="1"/>
  <c r="F401" i="1" s="1"/>
  <c r="E400" i="1"/>
  <c r="E401" i="1" s="1"/>
  <c r="D400" i="1"/>
  <c r="R398" i="1"/>
  <c r="R397" i="1"/>
  <c r="R396" i="1"/>
  <c r="R395" i="1"/>
  <c r="R394" i="1"/>
  <c r="R393" i="1"/>
  <c r="R392" i="1"/>
  <c r="R391" i="1"/>
  <c r="R390" i="1"/>
  <c r="R389" i="1"/>
  <c r="R399" i="1" s="1"/>
  <c r="Q382" i="1"/>
  <c r="Q383" i="1" s="1"/>
  <c r="P382" i="1"/>
  <c r="P383" i="1" s="1"/>
  <c r="O382" i="1"/>
  <c r="O383" i="1" s="1"/>
  <c r="N382" i="1"/>
  <c r="N383" i="1" s="1"/>
  <c r="M382" i="1"/>
  <c r="M383" i="1" s="1"/>
  <c r="L382" i="1"/>
  <c r="L383" i="1" s="1"/>
  <c r="K382" i="1"/>
  <c r="K383" i="1" s="1"/>
  <c r="J382" i="1"/>
  <c r="J383" i="1" s="1"/>
  <c r="H382" i="1"/>
  <c r="H383" i="1" s="1"/>
  <c r="G382" i="1"/>
  <c r="G383" i="1" s="1"/>
  <c r="F382" i="1"/>
  <c r="F383" i="1" s="1"/>
  <c r="E382" i="1"/>
  <c r="E383" i="1" s="1"/>
  <c r="D382" i="1"/>
  <c r="R380" i="1"/>
  <c r="R379" i="1"/>
  <c r="R378" i="1"/>
  <c r="R377" i="1"/>
  <c r="R376" i="1"/>
  <c r="R375" i="1"/>
  <c r="R374" i="1"/>
  <c r="R373" i="1"/>
  <c r="R372" i="1"/>
  <c r="R371" i="1"/>
  <c r="R381" i="1" s="1"/>
  <c r="Q364" i="1"/>
  <c r="Q365" i="1" s="1"/>
  <c r="P364" i="1"/>
  <c r="P365" i="1" s="1"/>
  <c r="O364" i="1"/>
  <c r="O365" i="1" s="1"/>
  <c r="N364" i="1"/>
  <c r="N365" i="1" s="1"/>
  <c r="M364" i="1"/>
  <c r="M365" i="1" s="1"/>
  <c r="L364" i="1"/>
  <c r="L365" i="1" s="1"/>
  <c r="K364" i="1"/>
  <c r="K365" i="1" s="1"/>
  <c r="J364" i="1"/>
  <c r="J365" i="1" s="1"/>
  <c r="I364" i="1"/>
  <c r="I365" i="1" s="1"/>
  <c r="H364" i="1"/>
  <c r="H365" i="1" s="1"/>
  <c r="G364" i="1"/>
  <c r="G365" i="1" s="1"/>
  <c r="F364" i="1"/>
  <c r="F365" i="1" s="1"/>
  <c r="E364" i="1"/>
  <c r="E365" i="1" s="1"/>
  <c r="D364" i="1"/>
  <c r="R362" i="1"/>
  <c r="R361" i="1"/>
  <c r="R360" i="1"/>
  <c r="R359" i="1"/>
  <c r="R358" i="1"/>
  <c r="R357" i="1"/>
  <c r="R356" i="1"/>
  <c r="R355" i="1"/>
  <c r="R354" i="1"/>
  <c r="R353" i="1"/>
  <c r="R363" i="1" s="1"/>
  <c r="Q346" i="1"/>
  <c r="Q347" i="1" s="1"/>
  <c r="P346" i="1"/>
  <c r="P347" i="1" s="1"/>
  <c r="O346" i="1"/>
  <c r="O347" i="1" s="1"/>
  <c r="N346" i="1"/>
  <c r="N347" i="1" s="1"/>
  <c r="M346" i="1"/>
  <c r="M347" i="1" s="1"/>
  <c r="L346" i="1"/>
  <c r="L347" i="1" s="1"/>
  <c r="K346" i="1"/>
  <c r="K347" i="1" s="1"/>
  <c r="J346" i="1"/>
  <c r="J347" i="1" s="1"/>
  <c r="H346" i="1"/>
  <c r="H347" i="1" s="1"/>
  <c r="G346" i="1"/>
  <c r="G347" i="1" s="1"/>
  <c r="F346" i="1"/>
  <c r="F347" i="1" s="1"/>
  <c r="E346" i="1"/>
  <c r="E347" i="1" s="1"/>
  <c r="D346" i="1"/>
  <c r="R344" i="1"/>
  <c r="R343" i="1"/>
  <c r="R342" i="1"/>
  <c r="R341" i="1"/>
  <c r="R340" i="1"/>
  <c r="R339" i="1"/>
  <c r="R338" i="1"/>
  <c r="R337" i="1"/>
  <c r="R336" i="1"/>
  <c r="R335" i="1"/>
  <c r="R345" i="1" s="1"/>
  <c r="Q328" i="1"/>
  <c r="Q329" i="1" s="1"/>
  <c r="P328" i="1"/>
  <c r="P329" i="1" s="1"/>
  <c r="O328" i="1"/>
  <c r="O329" i="1" s="1"/>
  <c r="N328" i="1"/>
  <c r="N329" i="1" s="1"/>
  <c r="M328" i="1"/>
  <c r="M329" i="1" s="1"/>
  <c r="L328" i="1"/>
  <c r="L329" i="1" s="1"/>
  <c r="K328" i="1"/>
  <c r="K329" i="1" s="1"/>
  <c r="J328" i="1"/>
  <c r="J329" i="1" s="1"/>
  <c r="H328" i="1"/>
  <c r="H329" i="1" s="1"/>
  <c r="G328" i="1"/>
  <c r="G329" i="1" s="1"/>
  <c r="F328" i="1"/>
  <c r="F329" i="1" s="1"/>
  <c r="E328" i="1"/>
  <c r="E329" i="1" s="1"/>
  <c r="D328" i="1"/>
  <c r="R326" i="1"/>
  <c r="R325" i="1"/>
  <c r="R324" i="1"/>
  <c r="R323" i="1"/>
  <c r="R322" i="1"/>
  <c r="R321" i="1"/>
  <c r="R320" i="1"/>
  <c r="R319" i="1"/>
  <c r="R318" i="1"/>
  <c r="R317" i="1"/>
  <c r="R327" i="1" s="1"/>
  <c r="Q310" i="1"/>
  <c r="Q311" i="1" s="1"/>
  <c r="P310" i="1"/>
  <c r="P311" i="1" s="1"/>
  <c r="O310" i="1"/>
  <c r="O311" i="1" s="1"/>
  <c r="N310" i="1"/>
  <c r="N311" i="1" s="1"/>
  <c r="M310" i="1"/>
  <c r="M311" i="1" s="1"/>
  <c r="L310" i="1"/>
  <c r="L311" i="1" s="1"/>
  <c r="K310" i="1"/>
  <c r="K311" i="1" s="1"/>
  <c r="J310" i="1"/>
  <c r="J311" i="1" s="1"/>
  <c r="I310" i="1"/>
  <c r="I311" i="1" s="1"/>
  <c r="H310" i="1"/>
  <c r="H311" i="1" s="1"/>
  <c r="G310" i="1"/>
  <c r="G311" i="1" s="1"/>
  <c r="F310" i="1"/>
  <c r="F311" i="1" s="1"/>
  <c r="E310" i="1"/>
  <c r="E311" i="1" s="1"/>
  <c r="D310" i="1"/>
  <c r="R308" i="1"/>
  <c r="R307" i="1"/>
  <c r="R306" i="1"/>
  <c r="R305" i="1"/>
  <c r="R304" i="1"/>
  <c r="R303" i="1"/>
  <c r="R302" i="1"/>
  <c r="R301" i="1"/>
  <c r="R300" i="1"/>
  <c r="R299" i="1"/>
  <c r="R309" i="1" s="1"/>
  <c r="Q292" i="1"/>
  <c r="Q293" i="1" s="1"/>
  <c r="P292" i="1"/>
  <c r="P293" i="1" s="1"/>
  <c r="O292" i="1"/>
  <c r="O293" i="1" s="1"/>
  <c r="N292" i="1"/>
  <c r="N293" i="1" s="1"/>
  <c r="M292" i="1"/>
  <c r="M293" i="1" s="1"/>
  <c r="L292" i="1"/>
  <c r="L293" i="1" s="1"/>
  <c r="K292" i="1"/>
  <c r="K293" i="1" s="1"/>
  <c r="J292" i="1"/>
  <c r="J293" i="1" s="1"/>
  <c r="I292" i="1"/>
  <c r="I293" i="1" s="1"/>
  <c r="H292" i="1"/>
  <c r="H293" i="1" s="1"/>
  <c r="G292" i="1"/>
  <c r="G293" i="1" s="1"/>
  <c r="F292" i="1"/>
  <c r="F293" i="1" s="1"/>
  <c r="E292" i="1"/>
  <c r="E293" i="1" s="1"/>
  <c r="D292" i="1"/>
  <c r="R290" i="1"/>
  <c r="R289" i="1"/>
  <c r="R288" i="1"/>
  <c r="R287" i="1"/>
  <c r="R286" i="1"/>
  <c r="R285" i="1"/>
  <c r="R284" i="1"/>
  <c r="R283" i="1"/>
  <c r="R282" i="1"/>
  <c r="R281" i="1"/>
  <c r="R291" i="1" s="1"/>
  <c r="Q274" i="1"/>
  <c r="Q275" i="1" s="1"/>
  <c r="P274" i="1"/>
  <c r="P275" i="1" s="1"/>
  <c r="O274" i="1"/>
  <c r="O275" i="1" s="1"/>
  <c r="N274" i="1"/>
  <c r="N275" i="1" s="1"/>
  <c r="M274" i="1"/>
  <c r="M275" i="1" s="1"/>
  <c r="L274" i="1"/>
  <c r="L275" i="1" s="1"/>
  <c r="K274" i="1"/>
  <c r="K275" i="1" s="1"/>
  <c r="J274" i="1"/>
  <c r="J275" i="1" s="1"/>
  <c r="I274" i="1"/>
  <c r="I275" i="1" s="1"/>
  <c r="H274" i="1"/>
  <c r="H275" i="1" s="1"/>
  <c r="G274" i="1"/>
  <c r="G275" i="1" s="1"/>
  <c r="F274" i="1"/>
  <c r="F275" i="1" s="1"/>
  <c r="E274" i="1"/>
  <c r="E275" i="1" s="1"/>
  <c r="D274" i="1"/>
  <c r="R272" i="1"/>
  <c r="R271" i="1"/>
  <c r="R270" i="1"/>
  <c r="R269" i="1"/>
  <c r="R268" i="1"/>
  <c r="R267" i="1"/>
  <c r="R266" i="1"/>
  <c r="R273" i="1" s="1"/>
  <c r="Q259" i="1"/>
  <c r="Q260" i="1" s="1"/>
  <c r="P259" i="1"/>
  <c r="P260" i="1" s="1"/>
  <c r="O259" i="1"/>
  <c r="O260" i="1" s="1"/>
  <c r="N259" i="1"/>
  <c r="N260" i="1" s="1"/>
  <c r="M259" i="1"/>
  <c r="M260" i="1" s="1"/>
  <c r="L259" i="1"/>
  <c r="L260" i="1" s="1"/>
  <c r="K259" i="1"/>
  <c r="K260" i="1" s="1"/>
  <c r="J259" i="1"/>
  <c r="J260" i="1" s="1"/>
  <c r="H259" i="1"/>
  <c r="H260" i="1" s="1"/>
  <c r="G259" i="1"/>
  <c r="G260" i="1" s="1"/>
  <c r="F259" i="1"/>
  <c r="F260" i="1" s="1"/>
  <c r="E259" i="1"/>
  <c r="E260" i="1" s="1"/>
  <c r="D259" i="1"/>
  <c r="R257" i="1"/>
  <c r="R256" i="1"/>
  <c r="R255" i="1"/>
  <c r="R254" i="1"/>
  <c r="R253" i="1"/>
  <c r="R252" i="1"/>
  <c r="R251" i="1"/>
  <c r="R258" i="1" s="1"/>
  <c r="Q244" i="1"/>
  <c r="Q245" i="1" s="1"/>
  <c r="P244" i="1"/>
  <c r="P245" i="1" s="1"/>
  <c r="O244" i="1"/>
  <c r="O245" i="1" s="1"/>
  <c r="N244" i="1"/>
  <c r="N245" i="1" s="1"/>
  <c r="M244" i="1"/>
  <c r="M245" i="1" s="1"/>
  <c r="L244" i="1"/>
  <c r="L245" i="1" s="1"/>
  <c r="K244" i="1"/>
  <c r="K245" i="1" s="1"/>
  <c r="J244" i="1"/>
  <c r="J245" i="1" s="1"/>
  <c r="I244" i="1"/>
  <c r="I245" i="1" s="1"/>
  <c r="H244" i="1"/>
  <c r="H245" i="1" s="1"/>
  <c r="G244" i="1"/>
  <c r="G245" i="1" s="1"/>
  <c r="F244" i="1"/>
  <c r="F245" i="1" s="1"/>
  <c r="E244" i="1"/>
  <c r="E245" i="1" s="1"/>
  <c r="D244" i="1"/>
  <c r="R242" i="1"/>
  <c r="R241" i="1"/>
  <c r="R240" i="1"/>
  <c r="R239" i="1"/>
  <c r="R238" i="1"/>
  <c r="R237" i="1"/>
  <c r="R236" i="1"/>
  <c r="R243" i="1" s="1"/>
  <c r="Q229" i="1"/>
  <c r="Q230" i="1" s="1"/>
  <c r="P229" i="1"/>
  <c r="P230" i="1" s="1"/>
  <c r="O229" i="1"/>
  <c r="O230" i="1" s="1"/>
  <c r="N229" i="1"/>
  <c r="N230" i="1" s="1"/>
  <c r="M229" i="1"/>
  <c r="M230" i="1" s="1"/>
  <c r="L229" i="1"/>
  <c r="L230" i="1" s="1"/>
  <c r="K229" i="1"/>
  <c r="K230" i="1" s="1"/>
  <c r="J229" i="1"/>
  <c r="J230" i="1" s="1"/>
  <c r="I229" i="1"/>
  <c r="I230" i="1" s="1"/>
  <c r="H229" i="1"/>
  <c r="H230" i="1" s="1"/>
  <c r="G229" i="1"/>
  <c r="G230" i="1" s="1"/>
  <c r="F229" i="1"/>
  <c r="F230" i="1" s="1"/>
  <c r="E229" i="1"/>
  <c r="E230" i="1" s="1"/>
  <c r="D229" i="1"/>
  <c r="R227" i="1"/>
  <c r="R226" i="1"/>
  <c r="R225" i="1"/>
  <c r="R224" i="1"/>
  <c r="R223" i="1"/>
  <c r="R222" i="1"/>
  <c r="R221" i="1"/>
  <c r="R228" i="1" s="1"/>
  <c r="Q214" i="1"/>
  <c r="Q215" i="1" s="1"/>
  <c r="P214" i="1"/>
  <c r="P215" i="1" s="1"/>
  <c r="O214" i="1"/>
  <c r="O215" i="1" s="1"/>
  <c r="N214" i="1"/>
  <c r="N215" i="1" s="1"/>
  <c r="M214" i="1"/>
  <c r="M215" i="1" s="1"/>
  <c r="L214" i="1"/>
  <c r="L215" i="1" s="1"/>
  <c r="K214" i="1"/>
  <c r="K215" i="1" s="1"/>
  <c r="J214" i="1"/>
  <c r="J215" i="1" s="1"/>
  <c r="I214" i="1"/>
  <c r="I215" i="1" s="1"/>
  <c r="H214" i="1"/>
  <c r="H215" i="1" s="1"/>
  <c r="G214" i="1"/>
  <c r="G215" i="1" s="1"/>
  <c r="F214" i="1"/>
  <c r="F215" i="1" s="1"/>
  <c r="E214" i="1"/>
  <c r="E215" i="1" s="1"/>
  <c r="D214" i="1"/>
  <c r="R212" i="1"/>
  <c r="R211" i="1"/>
  <c r="R210" i="1"/>
  <c r="R209" i="1"/>
  <c r="R208" i="1"/>
  <c r="R207" i="1"/>
  <c r="R206" i="1"/>
  <c r="R213" i="1" s="1"/>
  <c r="Q199" i="1"/>
  <c r="Q200" i="1" s="1"/>
  <c r="P199" i="1"/>
  <c r="P200" i="1" s="1"/>
  <c r="O199" i="1"/>
  <c r="O200" i="1" s="1"/>
  <c r="N199" i="1"/>
  <c r="N200" i="1" s="1"/>
  <c r="M199" i="1"/>
  <c r="M200" i="1" s="1"/>
  <c r="L199" i="1"/>
  <c r="L200" i="1" s="1"/>
  <c r="K199" i="1"/>
  <c r="K200" i="1" s="1"/>
  <c r="J199" i="1"/>
  <c r="J200" i="1" s="1"/>
  <c r="I199" i="1"/>
  <c r="I200" i="1" s="1"/>
  <c r="H199" i="1"/>
  <c r="H200" i="1" s="1"/>
  <c r="G199" i="1"/>
  <c r="G200" i="1" s="1"/>
  <c r="F199" i="1"/>
  <c r="F200" i="1" s="1"/>
  <c r="E199" i="1"/>
  <c r="E200" i="1" s="1"/>
  <c r="D199" i="1"/>
  <c r="R197" i="1"/>
  <c r="R196" i="1"/>
  <c r="R195" i="1"/>
  <c r="R194" i="1"/>
  <c r="R193" i="1"/>
  <c r="R192" i="1"/>
  <c r="R191" i="1"/>
  <c r="R198" i="1" s="1"/>
  <c r="Q184" i="1"/>
  <c r="Q185" i="1" s="1"/>
  <c r="P184" i="1"/>
  <c r="P185" i="1" s="1"/>
  <c r="O184" i="1"/>
  <c r="O185" i="1" s="1"/>
  <c r="N184" i="1"/>
  <c r="N185" i="1" s="1"/>
  <c r="M184" i="1"/>
  <c r="M185" i="1" s="1"/>
  <c r="L184" i="1"/>
  <c r="L185" i="1" s="1"/>
  <c r="K184" i="1"/>
  <c r="K185" i="1" s="1"/>
  <c r="J184" i="1"/>
  <c r="J185" i="1" s="1"/>
  <c r="H184" i="1"/>
  <c r="H185" i="1" s="1"/>
  <c r="G184" i="1"/>
  <c r="G185" i="1" s="1"/>
  <c r="F184" i="1"/>
  <c r="F185" i="1" s="1"/>
  <c r="E184" i="1"/>
  <c r="E185" i="1" s="1"/>
  <c r="D184" i="1"/>
  <c r="R182" i="1"/>
  <c r="R181" i="1"/>
  <c r="R180" i="1"/>
  <c r="R179" i="1"/>
  <c r="R178" i="1"/>
  <c r="R177" i="1"/>
  <c r="R176" i="1"/>
  <c r="R183" i="1" s="1"/>
  <c r="Q169" i="1"/>
  <c r="Q170" i="1" s="1"/>
  <c r="P169" i="1"/>
  <c r="P170" i="1" s="1"/>
  <c r="O169" i="1"/>
  <c r="O170" i="1" s="1"/>
  <c r="N169" i="1"/>
  <c r="N170" i="1" s="1"/>
  <c r="M169" i="1"/>
  <c r="M170" i="1" s="1"/>
  <c r="L169" i="1"/>
  <c r="L170" i="1" s="1"/>
  <c r="K169" i="1"/>
  <c r="K170" i="1" s="1"/>
  <c r="J169" i="1"/>
  <c r="J170" i="1" s="1"/>
  <c r="G169" i="1"/>
  <c r="G170" i="1" s="1"/>
  <c r="F169" i="1"/>
  <c r="F170" i="1" s="1"/>
  <c r="E169" i="1"/>
  <c r="E170" i="1" s="1"/>
  <c r="D169" i="1"/>
  <c r="R167" i="1"/>
  <c r="R166" i="1"/>
  <c r="R165" i="1"/>
  <c r="R164" i="1"/>
  <c r="R163" i="1"/>
  <c r="R162" i="1"/>
  <c r="R161" i="1"/>
  <c r="R160" i="1"/>
  <c r="R159" i="1"/>
  <c r="R168" i="1" s="1"/>
  <c r="Q152" i="1"/>
  <c r="Q153" i="1" s="1"/>
  <c r="P152" i="1"/>
  <c r="P153" i="1" s="1"/>
  <c r="O152" i="1"/>
  <c r="O153" i="1" s="1"/>
  <c r="N152" i="1"/>
  <c r="N153" i="1" s="1"/>
  <c r="M152" i="1"/>
  <c r="M153" i="1" s="1"/>
  <c r="L152" i="1"/>
  <c r="L153" i="1" s="1"/>
  <c r="K152" i="1"/>
  <c r="K153" i="1" s="1"/>
  <c r="J152" i="1"/>
  <c r="J153" i="1" s="1"/>
  <c r="G152" i="1"/>
  <c r="G153" i="1" s="1"/>
  <c r="F152" i="1"/>
  <c r="F153" i="1" s="1"/>
  <c r="E152" i="1"/>
  <c r="E153" i="1" s="1"/>
  <c r="D152" i="1"/>
  <c r="R150" i="1"/>
  <c r="R149" i="1"/>
  <c r="R148" i="1"/>
  <c r="R147" i="1"/>
  <c r="R146" i="1"/>
  <c r="R144" i="1"/>
  <c r="R143" i="1"/>
  <c r="R142" i="1"/>
  <c r="R151" i="1" s="1"/>
  <c r="Q135" i="1"/>
  <c r="Q136" i="1" s="1"/>
  <c r="P135" i="1"/>
  <c r="P136" i="1" s="1"/>
  <c r="O135" i="1"/>
  <c r="O136" i="1" s="1"/>
  <c r="N135" i="1"/>
  <c r="N136" i="1" s="1"/>
  <c r="M135" i="1"/>
  <c r="M136" i="1" s="1"/>
  <c r="L135" i="1"/>
  <c r="L136" i="1" s="1"/>
  <c r="K135" i="1"/>
  <c r="K136" i="1" s="1"/>
  <c r="J135" i="1"/>
  <c r="J136" i="1" s="1"/>
  <c r="I135" i="1"/>
  <c r="I136" i="1" s="1"/>
  <c r="H135" i="1"/>
  <c r="H136" i="1" s="1"/>
  <c r="G135" i="1"/>
  <c r="G136" i="1" s="1"/>
  <c r="F135" i="1"/>
  <c r="F136" i="1" s="1"/>
  <c r="E135" i="1"/>
  <c r="E136" i="1" s="1"/>
  <c r="D135" i="1"/>
  <c r="R133" i="1"/>
  <c r="R132" i="1"/>
  <c r="R131" i="1"/>
  <c r="R130" i="1"/>
  <c r="R129" i="1"/>
  <c r="R128" i="1"/>
  <c r="R134" i="1" s="1"/>
  <c r="R121" i="1"/>
  <c r="Q121" i="1"/>
  <c r="Q122" i="1" s="1"/>
  <c r="P121" i="1"/>
  <c r="P122" i="1" s="1"/>
  <c r="O121" i="1"/>
  <c r="O122" i="1" s="1"/>
  <c r="N121" i="1"/>
  <c r="N122" i="1" s="1"/>
  <c r="M121" i="1"/>
  <c r="M122" i="1" s="1"/>
  <c r="L121" i="1"/>
  <c r="L122" i="1" s="1"/>
  <c r="K121" i="1"/>
  <c r="K122" i="1" s="1"/>
  <c r="J121" i="1"/>
  <c r="J122" i="1" s="1"/>
  <c r="I121" i="1"/>
  <c r="I122" i="1" s="1"/>
  <c r="H121" i="1"/>
  <c r="H122" i="1" s="1"/>
  <c r="G121" i="1"/>
  <c r="G122" i="1" s="1"/>
  <c r="F121" i="1"/>
  <c r="F122" i="1" s="1"/>
  <c r="E121" i="1"/>
  <c r="E122" i="1" s="1"/>
  <c r="D121" i="1"/>
  <c r="D122" i="1" s="1"/>
  <c r="R122" i="1" s="1"/>
  <c r="R119" i="1"/>
  <c r="R118" i="1"/>
  <c r="R117" i="1"/>
  <c r="R116" i="1"/>
  <c r="R115" i="1"/>
  <c r="R114" i="1"/>
  <c r="R120" i="1" s="1"/>
  <c r="Q107" i="1"/>
  <c r="Q108" i="1" s="1"/>
  <c r="P107" i="1"/>
  <c r="P108" i="1" s="1"/>
  <c r="O107" i="1"/>
  <c r="O108" i="1" s="1"/>
  <c r="N107" i="1"/>
  <c r="N108" i="1" s="1"/>
  <c r="M107" i="1"/>
  <c r="M108" i="1" s="1"/>
  <c r="L107" i="1"/>
  <c r="L108" i="1" s="1"/>
  <c r="K107" i="1"/>
  <c r="K108" i="1" s="1"/>
  <c r="J107" i="1"/>
  <c r="J108" i="1" s="1"/>
  <c r="I107" i="1"/>
  <c r="I108" i="1" s="1"/>
  <c r="H107" i="1"/>
  <c r="H108" i="1" s="1"/>
  <c r="G107" i="1"/>
  <c r="G108" i="1" s="1"/>
  <c r="F107" i="1"/>
  <c r="F108" i="1" s="1"/>
  <c r="E107" i="1"/>
  <c r="E108" i="1" s="1"/>
  <c r="D107" i="1"/>
  <c r="R104" i="1"/>
  <c r="R103" i="1"/>
  <c r="R102" i="1"/>
  <c r="R101" i="1"/>
  <c r="R100" i="1"/>
  <c r="R99" i="1"/>
  <c r="R98" i="1"/>
  <c r="R97" i="1"/>
  <c r="R106" i="1" s="1"/>
  <c r="Q91" i="1"/>
  <c r="Q92" i="1" s="1"/>
  <c r="P91" i="1"/>
  <c r="P92" i="1" s="1"/>
  <c r="P60" i="1" s="1"/>
  <c r="O91" i="1"/>
  <c r="O92" i="1" s="1"/>
  <c r="O60" i="1" s="1"/>
  <c r="N91" i="1"/>
  <c r="N92" i="1" s="1"/>
  <c r="N60" i="1" s="1"/>
  <c r="M91" i="1"/>
  <c r="M92" i="1" s="1"/>
  <c r="L91" i="1"/>
  <c r="L92" i="1" s="1"/>
  <c r="L60" i="1" s="1"/>
  <c r="K91" i="1"/>
  <c r="K92" i="1" s="1"/>
  <c r="K60" i="1" s="1"/>
  <c r="J91" i="1"/>
  <c r="J92" i="1" s="1"/>
  <c r="I91" i="1"/>
  <c r="I92" i="1" s="1"/>
  <c r="H91" i="1"/>
  <c r="H92" i="1" s="1"/>
  <c r="H60" i="1" s="1"/>
  <c r="R85" i="1" s="1"/>
  <c r="G91" i="1"/>
  <c r="G92" i="1" s="1"/>
  <c r="F91" i="1"/>
  <c r="F92" i="1" s="1"/>
  <c r="E91" i="1"/>
  <c r="E92" i="1" s="1"/>
  <c r="D91" i="1"/>
  <c r="R89" i="1"/>
  <c r="R88" i="1"/>
  <c r="R87" i="1"/>
  <c r="R86" i="1"/>
  <c r="R84" i="1"/>
  <c r="R83" i="1"/>
  <c r="R82" i="1"/>
  <c r="R81" i="1"/>
  <c r="K76" i="1"/>
  <c r="Q75" i="1"/>
  <c r="Q76" i="1" s="1"/>
  <c r="P75" i="1"/>
  <c r="P76" i="1" s="1"/>
  <c r="O75" i="1"/>
  <c r="O76" i="1" s="1"/>
  <c r="N75" i="1"/>
  <c r="N76" i="1" s="1"/>
  <c r="M75" i="1"/>
  <c r="M76" i="1" s="1"/>
  <c r="L75" i="1"/>
  <c r="L76" i="1" s="1"/>
  <c r="K75" i="1"/>
  <c r="J75" i="1"/>
  <c r="J76" i="1" s="1"/>
  <c r="I75" i="1"/>
  <c r="I76" i="1" s="1"/>
  <c r="H75" i="1"/>
  <c r="H76" i="1" s="1"/>
  <c r="G75" i="1"/>
  <c r="G76" i="1" s="1"/>
  <c r="F75" i="1"/>
  <c r="F76" i="1" s="1"/>
  <c r="E75" i="1"/>
  <c r="E76" i="1" s="1"/>
  <c r="D75" i="1"/>
  <c r="R73" i="1"/>
  <c r="R72" i="1"/>
  <c r="R71" i="1"/>
  <c r="R70" i="1"/>
  <c r="R69" i="1"/>
  <c r="R68" i="1"/>
  <c r="R67" i="1"/>
  <c r="R66" i="1"/>
  <c r="R65" i="1"/>
  <c r="R74" i="1" s="1"/>
  <c r="Q60" i="1"/>
  <c r="M60" i="1"/>
  <c r="J60" i="1"/>
  <c r="I60" i="1"/>
  <c r="G60" i="1"/>
  <c r="F60" i="1"/>
  <c r="E60" i="1"/>
  <c r="R60" i="1" s="1"/>
  <c r="D60" i="1"/>
  <c r="Q56" i="1"/>
  <c r="Q57" i="1" s="1"/>
  <c r="P56" i="1"/>
  <c r="P57" i="1" s="1"/>
  <c r="O56" i="1"/>
  <c r="O57" i="1" s="1"/>
  <c r="N56" i="1"/>
  <c r="N57" i="1" s="1"/>
  <c r="M56" i="1"/>
  <c r="M57" i="1" s="1"/>
  <c r="L56" i="1"/>
  <c r="L57" i="1" s="1"/>
  <c r="K56" i="1"/>
  <c r="K57" i="1" s="1"/>
  <c r="J56" i="1"/>
  <c r="J57" i="1" s="1"/>
  <c r="H56" i="1"/>
  <c r="H57" i="1" s="1"/>
  <c r="G56" i="1"/>
  <c r="G57" i="1" s="1"/>
  <c r="F56" i="1"/>
  <c r="F57" i="1" s="1"/>
  <c r="E56" i="1"/>
  <c r="E57" i="1" s="1"/>
  <c r="D56" i="1"/>
  <c r="R54" i="1"/>
  <c r="R53" i="1"/>
  <c r="R52" i="1"/>
  <c r="R51" i="1"/>
  <c r="R50" i="1"/>
  <c r="R49" i="1"/>
  <c r="R48" i="1"/>
  <c r="R55" i="1" s="1"/>
  <c r="Q41" i="1"/>
  <c r="Q42" i="1" s="1"/>
  <c r="P41" i="1"/>
  <c r="P42" i="1" s="1"/>
  <c r="O41" i="1"/>
  <c r="O42" i="1" s="1"/>
  <c r="N41" i="1"/>
  <c r="N42" i="1" s="1"/>
  <c r="M41" i="1"/>
  <c r="M42" i="1" s="1"/>
  <c r="L41" i="1"/>
  <c r="L42" i="1" s="1"/>
  <c r="K41" i="1"/>
  <c r="K42" i="1" s="1"/>
  <c r="J41" i="1"/>
  <c r="J42" i="1" s="1"/>
  <c r="G41" i="1"/>
  <c r="G42" i="1" s="1"/>
  <c r="F41" i="1"/>
  <c r="F42" i="1" s="1"/>
  <c r="E41" i="1"/>
  <c r="E42" i="1" s="1"/>
  <c r="D41" i="1"/>
  <c r="R38" i="1"/>
  <c r="R37" i="1"/>
  <c r="R36" i="1"/>
  <c r="R35" i="1"/>
  <c r="R34" i="1"/>
  <c r="R33" i="1"/>
  <c r="R40" i="1" s="1"/>
  <c r="Q26" i="1"/>
  <c r="Q27" i="1" s="1"/>
  <c r="P26" i="1"/>
  <c r="P27" i="1" s="1"/>
  <c r="O26" i="1"/>
  <c r="O27" i="1" s="1"/>
  <c r="N26" i="1"/>
  <c r="N27" i="1" s="1"/>
  <c r="M26" i="1"/>
  <c r="M27" i="1" s="1"/>
  <c r="L26" i="1"/>
  <c r="L27" i="1" s="1"/>
  <c r="K26" i="1"/>
  <c r="K27" i="1" s="1"/>
  <c r="J26" i="1"/>
  <c r="J27" i="1" s="1"/>
  <c r="I26" i="1"/>
  <c r="I27" i="1" s="1"/>
  <c r="H26" i="1"/>
  <c r="H27" i="1" s="1"/>
  <c r="G26" i="1"/>
  <c r="G27" i="1" s="1"/>
  <c r="F26" i="1"/>
  <c r="F27" i="1" s="1"/>
  <c r="E26" i="1"/>
  <c r="E27" i="1" s="1"/>
  <c r="D26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25" i="1" s="1"/>
  <c r="R461" i="1" l="1"/>
  <c r="D462" i="1"/>
  <c r="R462" i="1" s="1"/>
  <c r="R431" i="1"/>
  <c r="D432" i="1"/>
  <c r="R432" i="1" s="1"/>
  <c r="R422" i="1"/>
  <c r="R430" i="1" s="1"/>
  <c r="D417" i="1"/>
  <c r="R417" i="1" s="1"/>
  <c r="R416" i="1"/>
  <c r="D401" i="1"/>
  <c r="R401" i="1" s="1"/>
  <c r="R400" i="1"/>
  <c r="R382" i="1"/>
  <c r="D383" i="1"/>
  <c r="R383" i="1" s="1"/>
  <c r="R364" i="1"/>
  <c r="D365" i="1"/>
  <c r="R365" i="1" s="1"/>
  <c r="D347" i="1"/>
  <c r="R347" i="1" s="1"/>
  <c r="R346" i="1"/>
  <c r="R328" i="1"/>
  <c r="D329" i="1"/>
  <c r="R329" i="1" s="1"/>
  <c r="D311" i="1"/>
  <c r="R311" i="1" s="1"/>
  <c r="R310" i="1"/>
  <c r="R292" i="1"/>
  <c r="D293" i="1"/>
  <c r="R293" i="1" s="1"/>
  <c r="S280" i="1" s="1"/>
  <c r="D275" i="1"/>
  <c r="R275" i="1" s="1"/>
  <c r="R274" i="1"/>
  <c r="R259" i="1"/>
  <c r="D260" i="1"/>
  <c r="R260" i="1" s="1"/>
  <c r="D245" i="1"/>
  <c r="R245" i="1" s="1"/>
  <c r="R244" i="1"/>
  <c r="R229" i="1"/>
  <c r="D230" i="1"/>
  <c r="R230" i="1" s="1"/>
  <c r="D215" i="1"/>
  <c r="R215" i="1" s="1"/>
  <c r="S205" i="1" s="1"/>
  <c r="R214" i="1"/>
  <c r="D200" i="1"/>
  <c r="R200" i="1" s="1"/>
  <c r="S190" i="1" s="1"/>
  <c r="R199" i="1"/>
  <c r="R184" i="1"/>
  <c r="D185" i="1"/>
  <c r="R185" i="1" s="1"/>
  <c r="R169" i="1"/>
  <c r="D170" i="1"/>
  <c r="R170" i="1" s="1"/>
  <c r="D153" i="1"/>
  <c r="R153" i="1" s="1"/>
  <c r="R152" i="1"/>
  <c r="D136" i="1"/>
  <c r="R136" i="1" s="1"/>
  <c r="S113" i="1" s="1"/>
  <c r="R135" i="1"/>
  <c r="D108" i="1"/>
  <c r="R108" i="1" s="1"/>
  <c r="R107" i="1"/>
  <c r="D92" i="1"/>
  <c r="R92" i="1" s="1"/>
  <c r="R91" i="1"/>
  <c r="D76" i="1"/>
  <c r="R76" i="1" s="1"/>
  <c r="S60" i="1" s="1"/>
  <c r="R75" i="1"/>
  <c r="R56" i="1"/>
  <c r="D57" i="1"/>
  <c r="R57" i="1" s="1"/>
  <c r="R41" i="1"/>
  <c r="D42" i="1"/>
  <c r="R42" i="1" s="1"/>
  <c r="R26" i="1"/>
  <c r="D27" i="1"/>
  <c r="R90" i="1"/>
  <c r="R27" i="1"/>
  <c r="S3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</author>
  </authors>
  <commentList>
    <comment ref="D4" authorId="0" shapeId="0" xr:uid="{3D500585-96C6-47B2-959A-57F26FB3121C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DECIA A $ 23.80
</t>
        </r>
      </text>
    </comment>
    <comment ref="F4" authorId="0" shapeId="0" xr:uid="{CEB379B9-CCE0-46C9-90E1-D414BB94DC25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DECIA A $ 23.80
</t>
        </r>
      </text>
    </comment>
  </commentList>
</comments>
</file>

<file path=xl/sharedStrings.xml><?xml version="1.0" encoding="utf-8"?>
<sst xmlns="http://schemas.openxmlformats.org/spreadsheetml/2006/main" count="647" uniqueCount="115">
  <si>
    <t>CARDENAS ALIMENTOS (CTE. 045)</t>
  </si>
  <si>
    <t>Fecha</t>
  </si>
  <si>
    <t>Folio</t>
  </si>
  <si>
    <t>Suc</t>
  </si>
  <si>
    <t>ESTRELLA 800</t>
  </si>
  <si>
    <t>ESTRELLA 1/2</t>
  </si>
  <si>
    <t>RANCHO 800</t>
  </si>
  <si>
    <t>RANCHO 1/2</t>
  </si>
  <si>
    <t>BCA .800GMS</t>
  </si>
  <si>
    <t>AMARILLA.800</t>
  </si>
  <si>
    <t>GELITA</t>
  </si>
  <si>
    <t>TACO 800</t>
  </si>
  <si>
    <t>TACO 1 kilo</t>
  </si>
  <si>
    <t>ROJA</t>
  </si>
  <si>
    <t>S/MARCA</t>
  </si>
  <si>
    <t>HAR 10</t>
  </si>
  <si>
    <t>SALSAS</t>
  </si>
  <si>
    <t>TOTAL</t>
  </si>
  <si>
    <t>BNES. STO. DOMINGO</t>
  </si>
  <si>
    <t>LOMAS MODELO</t>
  </si>
  <si>
    <t>BERNARDO REYES</t>
  </si>
  <si>
    <t>MINAS</t>
  </si>
  <si>
    <t>VALLE LINCOLN</t>
  </si>
  <si>
    <t>MISION FUNDA</t>
  </si>
  <si>
    <t>NVA. LAS PUENTES</t>
  </si>
  <si>
    <t>´0959</t>
  </si>
  <si>
    <t xml:space="preserve">VIILLAS DE OTE. </t>
  </si>
  <si>
    <t>UNIDAD LAB.</t>
  </si>
  <si>
    <t>COL. DEL AERO</t>
  </si>
  <si>
    <t>VILLA DEL OS ANGELES</t>
  </si>
  <si>
    <t>PRIV. DE LAS VILLAS</t>
  </si>
  <si>
    <t>FACTURA</t>
  </si>
  <si>
    <t>TOTAL GENERAL:</t>
  </si>
  <si>
    <t xml:space="preserve">TOTAL KILOS </t>
  </si>
  <si>
    <t xml:space="preserve">CANT EN PESOS </t>
  </si>
  <si>
    <t xml:space="preserve">    CTE. SILLA TPROP. (ADAN HUGO MARTINEZ)    CAMBIO DE PRECIO A 22.50 MARZO 2025</t>
  </si>
  <si>
    <t>ESTRELLA 1KG</t>
  </si>
  <si>
    <t>RANCHO 1KG</t>
  </si>
  <si>
    <t>GELITA ESD</t>
  </si>
  <si>
    <t>FRIJOL</t>
  </si>
  <si>
    <t>TACO 1 KG.</t>
  </si>
  <si>
    <t>HAR CRUDA</t>
  </si>
  <si>
    <t>SALSA .500 G</t>
  </si>
  <si>
    <t>SALSA .250 G</t>
  </si>
  <si>
    <t>SEPULVEDA (044)</t>
  </si>
  <si>
    <t>TACO 1 KG</t>
  </si>
  <si>
    <t>TACO .800 GMS</t>
  </si>
  <si>
    <t xml:space="preserve">GELITA </t>
  </si>
  <si>
    <t>SALSA .500</t>
  </si>
  <si>
    <t>S GELITA</t>
  </si>
  <si>
    <t>DCA</t>
  </si>
  <si>
    <t>DCA (INDEPENDENCIA/CENTRO)</t>
  </si>
  <si>
    <t>ESTRELLA 1</t>
  </si>
  <si>
    <t xml:space="preserve">RANCHO </t>
  </si>
  <si>
    <t>GELITA 1KG</t>
  </si>
  <si>
    <t>TACO 1KG</t>
  </si>
  <si>
    <t>TACO.800GM</t>
  </si>
  <si>
    <t>TACO</t>
  </si>
  <si>
    <t>GELITA DELGADITA</t>
  </si>
  <si>
    <t xml:space="preserve"> GELITA ESD</t>
  </si>
  <si>
    <t>PLANTA</t>
  </si>
  <si>
    <t>DCA PABLO LIVAS</t>
  </si>
  <si>
    <t xml:space="preserve">ESTRELLA </t>
  </si>
  <si>
    <t>RANCHO</t>
  </si>
  <si>
    <t>DCA (AZTECA-ANDENES)</t>
  </si>
  <si>
    <t>ESTRELLA</t>
  </si>
  <si>
    <t>GELITA 1 KG</t>
  </si>
  <si>
    <t xml:space="preserve">TACO </t>
  </si>
  <si>
    <t>CONTRY</t>
  </si>
  <si>
    <t>CTE. 008 CARNES ALANIS  SUC. SANTA FE</t>
  </si>
  <si>
    <t>GELITA  1 KG</t>
  </si>
  <si>
    <t>SALSS 250</t>
  </si>
  <si>
    <t xml:space="preserve">ROJA </t>
  </si>
  <si>
    <t xml:space="preserve">CTE. 008 CARNES ALANIS  SUC. LA JOYA </t>
  </si>
  <si>
    <t>CTE: 546     PROCESADORA DE ALIMENTOS KRG NO IMPRIMIR</t>
  </si>
  <si>
    <t>CTE: SUPER ROMA                 (SE ENPEZO CAPTURA 1/OCT.24 )</t>
  </si>
  <si>
    <t>CUMBRES</t>
  </si>
  <si>
    <t>RESERVA 85</t>
  </si>
  <si>
    <t xml:space="preserve">DYCOMSA DEL NORTE </t>
  </si>
  <si>
    <t>´0832</t>
  </si>
  <si>
    <t xml:space="preserve">GM CARNES  SUC.  DIEGO DIAZ </t>
  </si>
  <si>
    <t>´0831</t>
  </si>
  <si>
    <t xml:space="preserve">GM CARNES  SUC.  SAN NICOLAS (BERNESES) </t>
  </si>
  <si>
    <t>´0833</t>
  </si>
  <si>
    <t xml:space="preserve">LEAL  (CTE. 590)                      </t>
  </si>
  <si>
    <t>´0752</t>
  </si>
  <si>
    <t>´0760</t>
  </si>
  <si>
    <t>´0767</t>
  </si>
  <si>
    <t xml:space="preserve">F CARNES                       </t>
  </si>
  <si>
    <t>MI ESTRELLA</t>
  </si>
  <si>
    <t>´0810</t>
  </si>
  <si>
    <t>Cambio facturar a partir 01/julio Cte.659 Celina Váldez Cantu-CARNES DEL ORIENTE  TRANSFERENCIA PARTIR 10 OCTUBRE  SERA DE CREDITO (CLIENTE 552)</t>
  </si>
  <si>
    <t>´0964</t>
  </si>
  <si>
    <t>´0979</t>
  </si>
  <si>
    <t xml:space="preserve">  FUENTES,PALMAS,ENCOMIENDA,PORTAL DEL NTE.,GARCIA, TALAVERNA      (CTE.529) SAN ANGEL (SIMON CORONADO) </t>
  </si>
  <si>
    <t>PALMAS</t>
  </si>
  <si>
    <t>FUENTES</t>
  </si>
  <si>
    <t>(583)SAN ANGEL (LAURA ESTHER) NUEVO MADERO, LA PATRONA</t>
  </si>
  <si>
    <t>MADERO</t>
  </si>
  <si>
    <t xml:space="preserve">PATRONA </t>
  </si>
  <si>
    <t>NUEVO MUNDO (CTE.132)</t>
  </si>
  <si>
    <t>´0392</t>
  </si>
  <si>
    <t>BALDERAS CTE. 072  (BONIFACIO SALINAS)</t>
  </si>
  <si>
    <t>´0952</t>
  </si>
  <si>
    <t>´0970</t>
  </si>
  <si>
    <t>´0990</t>
  </si>
  <si>
    <t>BALDERAS SRI (PLUTARCO E. CALLES)</t>
  </si>
  <si>
    <t>BALDERAS (CTE. 478) APODACA</t>
  </si>
  <si>
    <t>ALICASA (16 ABRIL2024) CTE. 671 EDUARDO CANTU SILVA (26 FEB. 2024) (ANTESCTE.611 CARNES ROMULO GARZA FELIZ GALVAN (antes Oferton de Cantu)</t>
  </si>
  <si>
    <t>´0827</t>
  </si>
  <si>
    <t>CTE. 392 EL NORTEÑO (SAN NICOLAS)</t>
  </si>
  <si>
    <t>APODACA</t>
  </si>
  <si>
    <t>CTE. FRISA ALIMENTOS ( CADENA DE DYCOMSA Y ALICASA "OFERTON DE CANTU") 14 marzo 26 aut. Victor Torres</t>
  </si>
  <si>
    <t>ALWIN FOOD (EL NEGRO SUCS. LINDA VISTA, INSURGENTES, SENDERO LA FE</t>
  </si>
  <si>
    <t>ALIMENOTOS EL NEGRO (SUCS. LAS PUENTES, CRISTINA LARRALDE,EL VERGEL, PLAZA QU(CUMBRES), TEC, ALMENARES)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</si>
</sst>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164" formatCode="_-[$$-476]* #,##0.00_ ;_-[$$-476]* \-#,##0.00\ ;_-[$$-476]* &quot;-&quot;??_ ;_-@_ "/>
    <numFmt numFmtId="165" formatCode="#,##0_ ;\-#,##0\ "/>
    <numFmt numFmtId="166" formatCode="_-[$$]* #,##0.00_-;\-[$$]* #,##0.00_-;_-[$$]* &quot;-&quot;??_-;_-@_-" x16r2:formatCode16="_-[$$-sn-Latn-ZW]* #,##0.00_-;\-[$$-sn-Latn-ZW]* #,##0.00_-;_-[$$-sn-Latn-ZW]* &quot;-&quot;??_-;_-@_-"/>
    <numFmt numFmtId="167" formatCode="0_ ;\-0\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 Black"/>
      <family val="2"/>
    </font>
    <font>
      <b/>
      <sz val="8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0" xfId="0" applyFill="1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14" fontId="4" fillId="4" borderId="6" xfId="0" applyNumberFormat="1" applyFont="1" applyFill="1" applyBorder="1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44" fontId="5" fillId="7" borderId="9" xfId="0" applyNumberFormat="1" applyFont="1" applyFill="1" applyBorder="1" applyAlignment="1">
      <alignment horizontal="center"/>
    </xf>
    <xf numFmtId="44" fontId="3" fillId="7" borderId="7" xfId="0" applyNumberFormat="1" applyFont="1" applyFill="1" applyBorder="1" applyAlignment="1">
      <alignment horizontal="center"/>
    </xf>
    <xf numFmtId="8" fontId="5" fillId="7" borderId="7" xfId="0" applyNumberFormat="1" applyFont="1" applyFill="1" applyBorder="1" applyAlignment="1">
      <alignment horizontal="center"/>
    </xf>
    <xf numFmtId="44" fontId="4" fillId="7" borderId="7" xfId="0" applyNumberFormat="1" applyFont="1" applyFill="1" applyBorder="1" applyAlignment="1">
      <alignment horizontal="center"/>
    </xf>
    <xf numFmtId="44" fontId="4" fillId="7" borderId="6" xfId="0" applyNumberFormat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14" fontId="6" fillId="4" borderId="8" xfId="0" applyNumberFormat="1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14" fontId="7" fillId="4" borderId="8" xfId="0" applyNumberFormat="1" applyFont="1" applyFill="1" applyBorder="1"/>
    <xf numFmtId="0" fontId="7" fillId="3" borderId="0" xfId="0" applyFont="1" applyFill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44" fontId="4" fillId="6" borderId="7" xfId="1" applyFont="1" applyFill="1" applyBorder="1" applyAlignment="1">
      <alignment horizontal="center"/>
    </xf>
    <xf numFmtId="14" fontId="7" fillId="4" borderId="8" xfId="0" applyNumberFormat="1" applyFont="1" applyFill="1" applyBorder="1" applyAlignment="1">
      <alignment horizontal="center"/>
    </xf>
    <xf numFmtId="164" fontId="4" fillId="6" borderId="7" xfId="1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44" fontId="7" fillId="3" borderId="0" xfId="0" applyNumberFormat="1" applyFont="1" applyFill="1" applyAlignment="1">
      <alignment horizontal="center" vertical="center"/>
    </xf>
    <xf numFmtId="44" fontId="4" fillId="3" borderId="0" xfId="0" applyNumberFormat="1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7" fillId="6" borderId="7" xfId="0" applyFont="1" applyFill="1" applyBorder="1"/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/>
    <xf numFmtId="0" fontId="7" fillId="6" borderId="11" xfId="0" applyFont="1" applyFill="1" applyBorder="1"/>
    <xf numFmtId="0" fontId="4" fillId="6" borderId="11" xfId="0" applyFont="1" applyFill="1" applyBorder="1" applyAlignment="1">
      <alignment horizontal="right"/>
    </xf>
    <xf numFmtId="0" fontId="4" fillId="6" borderId="9" xfId="0" applyFont="1" applyFill="1" applyBorder="1" applyAlignment="1">
      <alignment horizontal="right"/>
    </xf>
    <xf numFmtId="44" fontId="4" fillId="4" borderId="5" xfId="0" applyNumberFormat="1" applyFont="1" applyFill="1" applyBorder="1"/>
    <xf numFmtId="0" fontId="4" fillId="4" borderId="7" xfId="0" applyFont="1" applyFill="1" applyBorder="1" applyAlignment="1">
      <alignment horizontal="center"/>
    </xf>
    <xf numFmtId="164" fontId="4" fillId="4" borderId="7" xfId="1" applyNumberFormat="1" applyFont="1" applyFill="1" applyBorder="1" applyAlignment="1">
      <alignment horizontal="center"/>
    </xf>
    <xf numFmtId="44" fontId="4" fillId="4" borderId="9" xfId="0" applyNumberFormat="1" applyFont="1" applyFill="1" applyBorder="1"/>
    <xf numFmtId="44" fontId="4" fillId="4" borderId="7" xfId="1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left"/>
    </xf>
    <xf numFmtId="14" fontId="4" fillId="4" borderId="3" xfId="0" applyNumberFormat="1" applyFont="1" applyFill="1" applyBorder="1" applyAlignment="1">
      <alignment horizontal="center"/>
    </xf>
    <xf numFmtId="44" fontId="4" fillId="7" borderId="9" xfId="0" applyNumberFormat="1" applyFont="1" applyFill="1" applyBorder="1" applyAlignment="1">
      <alignment horizontal="center"/>
    </xf>
    <xf numFmtId="14" fontId="5" fillId="4" borderId="8" xfId="0" applyNumberFormat="1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14" fontId="4" fillId="4" borderId="8" xfId="0" applyNumberFormat="1" applyFont="1" applyFill="1" applyBorder="1" applyAlignment="1">
      <alignment horizontal="left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44" fontId="7" fillId="6" borderId="7" xfId="1" applyFont="1" applyFill="1" applyBorder="1" applyAlignment="1">
      <alignment horizontal="center"/>
    </xf>
    <xf numFmtId="14" fontId="4" fillId="4" borderId="8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44" fontId="7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7" fillId="6" borderId="7" xfId="1" applyNumberFormat="1" applyFont="1" applyFill="1" applyBorder="1" applyAlignment="1">
      <alignment horizontal="center"/>
    </xf>
    <xf numFmtId="14" fontId="5" fillId="4" borderId="10" xfId="0" applyNumberFormat="1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14" fontId="4" fillId="4" borderId="8" xfId="0" applyNumberFormat="1" applyFont="1" applyFill="1" applyBorder="1"/>
    <xf numFmtId="0" fontId="4" fillId="4" borderId="10" xfId="0" quotePrefix="1" applyFont="1" applyFill="1" applyBorder="1" applyAlignment="1">
      <alignment horizontal="center"/>
    </xf>
    <xf numFmtId="164" fontId="7" fillId="6" borderId="7" xfId="0" applyNumberFormat="1" applyFont="1" applyFill="1" applyBorder="1"/>
    <xf numFmtId="0" fontId="7" fillId="3" borderId="0" xfId="0" applyFont="1" applyFill="1"/>
    <xf numFmtId="164" fontId="3" fillId="6" borderId="7" xfId="0" applyNumberFormat="1" applyFont="1" applyFill="1" applyBorder="1"/>
    <xf numFmtId="44" fontId="4" fillId="4" borderId="7" xfId="0" applyNumberFormat="1" applyFont="1" applyFill="1" applyBorder="1" applyAlignment="1">
      <alignment horizontal="center"/>
    </xf>
    <xf numFmtId="164" fontId="3" fillId="4" borderId="8" xfId="0" applyNumberFormat="1" applyFont="1" applyFill="1" applyBorder="1" applyAlignment="1">
      <alignment horizontal="center"/>
    </xf>
    <xf numFmtId="14" fontId="4" fillId="4" borderId="10" xfId="0" applyNumberFormat="1" applyFont="1" applyFill="1" applyBorder="1" applyAlignment="1">
      <alignment horizontal="center"/>
    </xf>
    <xf numFmtId="44" fontId="5" fillId="7" borderId="7" xfId="0" applyNumberFormat="1" applyFont="1" applyFill="1" applyBorder="1" applyAlignment="1">
      <alignment horizontal="center"/>
    </xf>
    <xf numFmtId="44" fontId="3" fillId="7" borderId="6" xfId="0" applyNumberFormat="1" applyFont="1" applyFill="1" applyBorder="1" applyAlignment="1">
      <alignment horizontal="center"/>
    </xf>
    <xf numFmtId="14" fontId="6" fillId="4" borderId="10" xfId="0" applyNumberFormat="1" applyFont="1" applyFill="1" applyBorder="1" applyAlignment="1">
      <alignment horizontal="center"/>
    </xf>
    <xf numFmtId="1" fontId="7" fillId="4" borderId="8" xfId="0" applyNumberFormat="1" applyFont="1" applyFill="1" applyBorder="1" applyAlignment="1">
      <alignment horizontal="center"/>
    </xf>
    <xf numFmtId="14" fontId="7" fillId="4" borderId="4" xfId="0" applyNumberFormat="1" applyFont="1" applyFill="1" applyBorder="1" applyAlignment="1">
      <alignment horizontal="left"/>
    </xf>
    <xf numFmtId="44" fontId="8" fillId="3" borderId="0" xfId="0" applyNumberFormat="1" applyFont="1" applyFill="1" applyAlignment="1">
      <alignment horizontal="center"/>
    </xf>
    <xf numFmtId="44" fontId="6" fillId="3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64" fontId="6" fillId="6" borderId="7" xfId="0" applyNumberFormat="1" applyFont="1" applyFill="1" applyBorder="1"/>
    <xf numFmtId="14" fontId="7" fillId="4" borderId="8" xfId="0" applyNumberFormat="1" applyFont="1" applyFill="1" applyBorder="1" applyAlignment="1">
      <alignment horizontal="left"/>
    </xf>
    <xf numFmtId="165" fontId="8" fillId="3" borderId="0" xfId="0" applyNumberFormat="1" applyFont="1" applyFill="1" applyAlignment="1">
      <alignment horizontal="center"/>
    </xf>
    <xf numFmtId="14" fontId="6" fillId="4" borderId="8" xfId="0" applyNumberFormat="1" applyFont="1" applyFill="1" applyBorder="1"/>
    <xf numFmtId="0" fontId="8" fillId="0" borderId="0" xfId="0" applyFont="1" applyAlignment="1">
      <alignment horizontal="center"/>
    </xf>
    <xf numFmtId="0" fontId="6" fillId="3" borderId="0" xfId="0" applyFont="1" applyFill="1"/>
    <xf numFmtId="0" fontId="7" fillId="4" borderId="10" xfId="0" applyFont="1" applyFill="1" applyBorder="1" applyAlignment="1">
      <alignment horizontal="left"/>
    </xf>
    <xf numFmtId="0" fontId="7" fillId="4" borderId="8" xfId="0" applyFont="1" applyFill="1" applyBorder="1"/>
    <xf numFmtId="0" fontId="7" fillId="3" borderId="2" xfId="0" applyFont="1" applyFill="1" applyBorder="1" applyAlignment="1">
      <alignment horizontal="center"/>
    </xf>
    <xf numFmtId="0" fontId="3" fillId="6" borderId="7" xfId="0" applyFont="1" applyFill="1" applyBorder="1"/>
    <xf numFmtId="0" fontId="3" fillId="6" borderId="7" xfId="0" applyFont="1" applyFill="1" applyBorder="1" applyAlignment="1">
      <alignment horizontal="left"/>
    </xf>
    <xf numFmtId="0" fontId="7" fillId="6" borderId="2" xfId="0" applyFont="1" applyFill="1" applyBorder="1"/>
    <xf numFmtId="0" fontId="4" fillId="6" borderId="2" xfId="0" applyFont="1" applyFill="1" applyBorder="1" applyAlignment="1">
      <alignment horizontal="right"/>
    </xf>
    <xf numFmtId="0" fontId="4" fillId="6" borderId="3" xfId="0" applyFont="1" applyFill="1" applyBorder="1" applyAlignment="1">
      <alignment horizontal="right"/>
    </xf>
    <xf numFmtId="44" fontId="4" fillId="8" borderId="5" xfId="0" applyNumberFormat="1" applyFont="1" applyFill="1" applyBorder="1"/>
    <xf numFmtId="44" fontId="4" fillId="8" borderId="9" xfId="0" applyNumberFormat="1" applyFont="1" applyFill="1" applyBorder="1"/>
    <xf numFmtId="0" fontId="9" fillId="9" borderId="7" xfId="0" applyFont="1" applyFill="1" applyBorder="1" applyAlignment="1">
      <alignment horizontal="center" vertical="center"/>
    </xf>
    <xf numFmtId="44" fontId="7" fillId="10" borderId="13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44" fontId="7" fillId="10" borderId="14" xfId="0" applyNumberFormat="1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166" fontId="0" fillId="3" borderId="0" xfId="0" applyNumberFormat="1" applyFill="1"/>
    <xf numFmtId="44" fontId="6" fillId="7" borderId="7" xfId="0" applyNumberFormat="1" applyFont="1" applyFill="1" applyBorder="1" applyAlignment="1">
      <alignment horizontal="center"/>
    </xf>
    <xf numFmtId="44" fontId="5" fillId="7" borderId="6" xfId="0" applyNumberFormat="1" applyFont="1" applyFill="1" applyBorder="1" applyAlignment="1">
      <alignment horizontal="center"/>
    </xf>
    <xf numFmtId="14" fontId="6" fillId="4" borderId="4" xfId="0" applyNumberFormat="1" applyFont="1" applyFill="1" applyBorder="1" applyAlignment="1">
      <alignment horizontal="left"/>
    </xf>
    <xf numFmtId="167" fontId="5" fillId="3" borderId="0" xfId="0" applyNumberFormat="1" applyFont="1" applyFill="1" applyAlignment="1">
      <alignment horizontal="center"/>
    </xf>
    <xf numFmtId="14" fontId="6" fillId="4" borderId="8" xfId="0" applyNumberFormat="1" applyFont="1" applyFill="1" applyBorder="1" applyAlignment="1">
      <alignment horizontal="left"/>
    </xf>
    <xf numFmtId="1" fontId="6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7" fillId="0" borderId="0" xfId="0" applyFont="1"/>
    <xf numFmtId="0" fontId="7" fillId="4" borderId="0" xfId="0" applyFont="1" applyFill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164" fontId="3" fillId="8" borderId="8" xfId="0" applyNumberFormat="1" applyFont="1" applyFill="1" applyBorder="1" applyAlignment="1">
      <alignment horizontal="center"/>
    </xf>
    <xf numFmtId="44" fontId="4" fillId="8" borderId="7" xfId="1" applyFont="1" applyFill="1" applyBorder="1" applyAlignment="1">
      <alignment horizontal="center"/>
    </xf>
    <xf numFmtId="164" fontId="3" fillId="8" borderId="7" xfId="0" applyNumberFormat="1" applyFont="1" applyFill="1" applyBorder="1" applyAlignment="1">
      <alignment horizontal="center"/>
    </xf>
    <xf numFmtId="1" fontId="7" fillId="4" borderId="16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center"/>
    </xf>
    <xf numFmtId="44" fontId="7" fillId="4" borderId="7" xfId="1" applyFont="1" applyFill="1" applyBorder="1" applyAlignment="1">
      <alignment horizontal="center"/>
    </xf>
    <xf numFmtId="44" fontId="7" fillId="6" borderId="7" xfId="0" applyNumberFormat="1" applyFont="1" applyFill="1" applyBorder="1"/>
    <xf numFmtId="0" fontId="6" fillId="3" borderId="10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16" fontId="7" fillId="4" borderId="18" xfId="0" applyNumberFormat="1" applyFont="1" applyFill="1" applyBorder="1"/>
    <xf numFmtId="0" fontId="8" fillId="3" borderId="0" xfId="0" applyFont="1" applyFill="1"/>
    <xf numFmtId="0" fontId="7" fillId="4" borderId="19" xfId="0" applyFont="1" applyFill="1" applyBorder="1" applyAlignment="1">
      <alignment horizontal="center"/>
    </xf>
    <xf numFmtId="0" fontId="7" fillId="4" borderId="19" xfId="0" applyFont="1" applyFill="1" applyBorder="1"/>
    <xf numFmtId="14" fontId="7" fillId="4" borderId="19" xfId="0" applyNumberFormat="1" applyFont="1" applyFill="1" applyBorder="1"/>
    <xf numFmtId="164" fontId="5" fillId="6" borderId="7" xfId="0" applyNumberFormat="1" applyFont="1" applyFill="1" applyBorder="1"/>
    <xf numFmtId="164" fontId="4" fillId="6" borderId="7" xfId="0" applyNumberFormat="1" applyFont="1" applyFill="1" applyBorder="1"/>
    <xf numFmtId="0" fontId="2" fillId="2" borderId="2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14" fontId="4" fillId="4" borderId="7" xfId="0" applyNumberFormat="1" applyFont="1" applyFill="1" applyBorder="1" applyAlignment="1">
      <alignment horizontal="center"/>
    </xf>
    <xf numFmtId="44" fontId="3" fillId="7" borderId="9" xfId="0" applyNumberFormat="1" applyFont="1" applyFill="1" applyBorder="1" applyAlignment="1">
      <alignment horizontal="center"/>
    </xf>
    <xf numFmtId="0" fontId="7" fillId="4" borderId="10" xfId="0" quotePrefix="1" applyFont="1" applyFill="1" applyBorder="1" applyAlignment="1">
      <alignment horizontal="center"/>
    </xf>
    <xf numFmtId="0" fontId="4" fillId="12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44" fontId="4" fillId="12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4" fillId="12" borderId="10" xfId="0" applyFont="1" applyFill="1" applyBorder="1" applyAlignment="1">
      <alignment horizontal="center"/>
    </xf>
    <xf numFmtId="0" fontId="4" fillId="12" borderId="0" xfId="0" applyFont="1" applyFill="1"/>
    <xf numFmtId="0" fontId="4" fillId="5" borderId="6" xfId="0" applyFont="1" applyFill="1" applyBorder="1" applyAlignment="1">
      <alignment horizontal="center" vertical="center"/>
    </xf>
    <xf numFmtId="164" fontId="0" fillId="3" borderId="0" xfId="0" applyNumberFormat="1" applyFill="1"/>
    <xf numFmtId="1" fontId="8" fillId="3" borderId="0" xfId="0" applyNumberFormat="1" applyFont="1" applyFill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165" fontId="8" fillId="3" borderId="0" xfId="1" applyNumberFormat="1" applyFont="1" applyFill="1" applyBorder="1" applyAlignment="1">
      <alignment horizontal="center"/>
    </xf>
    <xf numFmtId="165" fontId="8" fillId="3" borderId="0" xfId="1" applyNumberFormat="1" applyFont="1" applyFill="1" applyAlignment="1">
      <alignment horizontal="center"/>
    </xf>
    <xf numFmtId="165" fontId="6" fillId="3" borderId="0" xfId="1" applyNumberFormat="1" applyFont="1" applyFill="1" applyAlignment="1">
      <alignment horizontal="center"/>
    </xf>
    <xf numFmtId="44" fontId="7" fillId="4" borderId="7" xfId="0" applyNumberFormat="1" applyFont="1" applyFill="1" applyBorder="1" applyAlignment="1">
      <alignment horizontal="center"/>
    </xf>
    <xf numFmtId="49" fontId="6" fillId="3" borderId="0" xfId="0" applyNumberFormat="1" applyFont="1" applyFill="1" applyAlignment="1">
      <alignment horizontal="center"/>
    </xf>
    <xf numFmtId="0" fontId="8" fillId="6" borderId="7" xfId="0" applyFont="1" applyFill="1" applyBorder="1"/>
    <xf numFmtId="0" fontId="8" fillId="6" borderId="7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right"/>
    </xf>
    <xf numFmtId="0" fontId="7" fillId="6" borderId="3" xfId="0" applyFont="1" applyFill="1" applyBorder="1" applyAlignment="1">
      <alignment horizontal="right"/>
    </xf>
    <xf numFmtId="0" fontId="7" fillId="6" borderId="9" xfId="0" applyFont="1" applyFill="1" applyBorder="1" applyAlignment="1">
      <alignment horizontal="right"/>
    </xf>
    <xf numFmtId="49" fontId="4" fillId="4" borderId="7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14" fontId="7" fillId="4" borderId="6" xfId="0" applyNumberFormat="1" applyFont="1" applyFill="1" applyBorder="1" applyAlignment="1">
      <alignment horizontal="center"/>
    </xf>
    <xf numFmtId="14" fontId="7" fillId="4" borderId="10" xfId="0" applyNumberFormat="1" applyFont="1" applyFill="1" applyBorder="1" applyAlignment="1">
      <alignment horizontal="center"/>
    </xf>
    <xf numFmtId="44" fontId="5" fillId="6" borderId="7" xfId="0" applyNumberFormat="1" applyFont="1" applyFill="1" applyBorder="1"/>
    <xf numFmtId="1" fontId="7" fillId="4" borderId="10" xfId="0" applyNumberFormat="1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44" fontId="8" fillId="10" borderId="0" xfId="0" applyNumberFormat="1" applyFont="1" applyFill="1" applyAlignment="1">
      <alignment horizontal="center"/>
    </xf>
    <xf numFmtId="44" fontId="6" fillId="10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44" fontId="7" fillId="4" borderId="5" xfId="0" applyNumberFormat="1" applyFont="1" applyFill="1" applyBorder="1"/>
    <xf numFmtId="44" fontId="7" fillId="4" borderId="9" xfId="0" applyNumberFormat="1" applyFont="1" applyFill="1" applyBorder="1"/>
    <xf numFmtId="44" fontId="6" fillId="6" borderId="7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3AA9-EA80-4204-A706-32ED143FF490}">
  <dimension ref="A2:AI462"/>
  <sheetViews>
    <sheetView tabSelected="1" topLeftCell="A434" workbookViewId="0">
      <selection activeCell="J16" sqref="J16"/>
    </sheetView>
  </sheetViews>
  <sheetFormatPr baseColWidth="10" defaultRowHeight="15" x14ac:dyDescent="0.25"/>
  <cols>
    <col min="3" max="3" width="22.5703125" customWidth="1"/>
    <col min="5" max="5" width="13.42578125" bestFit="1" customWidth="1"/>
    <col min="7" max="7" width="12.140625" bestFit="1" customWidth="1"/>
    <col min="9" max="9" width="15.140625" bestFit="1" customWidth="1"/>
    <col min="12" max="12" width="12.140625" bestFit="1" customWidth="1"/>
    <col min="18" max="18" width="13.85546875" customWidth="1"/>
    <col min="19" max="19" width="22.42578125" style="4" customWidth="1"/>
    <col min="20" max="35" width="11.42578125" style="4"/>
  </cols>
  <sheetData>
    <row r="2" spans="1:18" ht="15.75" thickBo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1:18" ht="15.75" thickBot="1" x14ac:dyDescent="0.3">
      <c r="A3" s="5" t="s">
        <v>1</v>
      </c>
      <c r="B3" s="5" t="s">
        <v>2</v>
      </c>
      <c r="C3" s="6" t="s">
        <v>3</v>
      </c>
      <c r="D3" s="7" t="s">
        <v>4</v>
      </c>
      <c r="E3" s="8" t="s">
        <v>5</v>
      </c>
      <c r="F3" s="9" t="s">
        <v>6</v>
      </c>
      <c r="G3" s="8" t="s">
        <v>7</v>
      </c>
      <c r="H3" s="8" t="s">
        <v>8</v>
      </c>
      <c r="I3" s="8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1" t="s">
        <v>14</v>
      </c>
      <c r="O3" s="11" t="s">
        <v>15</v>
      </c>
      <c r="P3" s="11" t="s">
        <v>16</v>
      </c>
      <c r="Q3" s="11" t="s">
        <v>10</v>
      </c>
      <c r="R3" s="12" t="s">
        <v>17</v>
      </c>
    </row>
    <row r="4" spans="1:18" ht="15.75" thickBot="1" x14ac:dyDescent="0.3">
      <c r="A4" s="13"/>
      <c r="B4" s="13"/>
      <c r="C4" s="14"/>
      <c r="D4" s="15">
        <v>19.600000000000001</v>
      </c>
      <c r="E4" s="16">
        <v>22.1</v>
      </c>
      <c r="F4" s="15">
        <v>19.600000000000001</v>
      </c>
      <c r="G4" s="16">
        <v>22.1</v>
      </c>
      <c r="H4" s="17">
        <v>19.600000000000001</v>
      </c>
      <c r="I4" s="17">
        <v>19.600000000000001</v>
      </c>
      <c r="J4" s="18">
        <v>23.8</v>
      </c>
      <c r="K4" s="18">
        <v>0</v>
      </c>
      <c r="L4" s="18">
        <v>23.8</v>
      </c>
      <c r="M4" s="18">
        <v>19.5</v>
      </c>
      <c r="N4" s="18">
        <v>0</v>
      </c>
      <c r="O4" s="19">
        <v>0</v>
      </c>
      <c r="P4" s="19"/>
      <c r="Q4" s="19"/>
      <c r="R4" s="20"/>
    </row>
    <row r="5" spans="1:18" ht="15.75" thickBot="1" x14ac:dyDescent="0.3">
      <c r="A5" s="21">
        <v>46265</v>
      </c>
      <c r="B5" s="22">
        <v>7346</v>
      </c>
      <c r="C5" s="23" t="s">
        <v>18</v>
      </c>
      <c r="D5" s="24"/>
      <c r="E5" s="24">
        <v>30</v>
      </c>
      <c r="F5" s="24"/>
      <c r="G5" s="24">
        <v>12</v>
      </c>
      <c r="H5" s="24"/>
      <c r="I5" s="24"/>
      <c r="J5" s="24"/>
      <c r="K5" s="24"/>
      <c r="L5" s="24"/>
      <c r="M5" s="24"/>
      <c r="N5" s="24"/>
      <c r="O5" s="24"/>
      <c r="P5" s="24"/>
      <c r="Q5" s="25"/>
      <c r="R5" s="26">
        <f>E4*E5+G4*G5</f>
        <v>928.2</v>
      </c>
    </row>
    <row r="6" spans="1:18" ht="15.75" thickBot="1" x14ac:dyDescent="0.3">
      <c r="A6" s="27">
        <v>46267</v>
      </c>
      <c r="B6" s="22">
        <v>15390</v>
      </c>
      <c r="C6" s="23" t="s">
        <v>19</v>
      </c>
      <c r="D6" s="24"/>
      <c r="E6" s="24">
        <v>63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8">
        <f>D4*D6+E4*E6+F4*F6+G4*G6+H4*H6+I4*I6+J4*J6+L4*L6+K4*K6+M4*M6+N4*N6+O4*O6+P4*P6+Q4*Q6</f>
        <v>1392.3000000000002</v>
      </c>
    </row>
    <row r="7" spans="1:18" ht="15.75" thickBot="1" x14ac:dyDescent="0.3">
      <c r="A7" s="27">
        <v>46267</v>
      </c>
      <c r="B7" s="22">
        <v>14202</v>
      </c>
      <c r="C7" s="23" t="s">
        <v>20</v>
      </c>
      <c r="D7" s="24"/>
      <c r="E7" s="24">
        <v>42</v>
      </c>
      <c r="F7" s="24"/>
      <c r="G7" s="24">
        <v>21</v>
      </c>
      <c r="H7" s="24"/>
      <c r="I7" s="24"/>
      <c r="J7" s="24"/>
      <c r="K7" s="24"/>
      <c r="L7" s="24"/>
      <c r="M7" s="29"/>
      <c r="N7" s="29"/>
      <c r="O7" s="29"/>
      <c r="P7" s="29"/>
      <c r="Q7" s="30"/>
      <c r="R7" s="28">
        <f>D4*D7+E4*E7+F4*F7+G4*G7+H5*H7+I5*I7+J5*J7+L5*L7+K5*K7+M5*M7+N5*N7+O5*O7+P5*P7+Q5*Q7</f>
        <v>1392.3000000000002</v>
      </c>
    </row>
    <row r="8" spans="1:18" ht="15.75" thickBot="1" x14ac:dyDescent="0.3">
      <c r="A8" s="27">
        <v>46268</v>
      </c>
      <c r="B8" s="22">
        <v>4359</v>
      </c>
      <c r="C8" s="23" t="s">
        <v>21</v>
      </c>
      <c r="D8" s="24"/>
      <c r="E8" s="24"/>
      <c r="F8" s="24"/>
      <c r="G8" s="29">
        <v>9</v>
      </c>
      <c r="H8" s="29"/>
      <c r="I8" s="29"/>
      <c r="J8" s="31"/>
      <c r="K8" s="31"/>
      <c r="L8" s="24"/>
      <c r="M8" s="32"/>
      <c r="N8" s="24"/>
      <c r="O8" s="24"/>
      <c r="P8" s="24"/>
      <c r="Q8" s="24"/>
      <c r="R8" s="28">
        <f>D4*D8+E4*E8+F4*F8+G4*G8+H6*H8+I6*I8+J6*J8+L6*L8+K6*K8+M6*M8+N6*N8+O6*O8+P6*P8+Q6*Q8</f>
        <v>198.9</v>
      </c>
    </row>
    <row r="9" spans="1:18" ht="15.75" thickBot="1" x14ac:dyDescent="0.3">
      <c r="A9" s="27">
        <v>46268</v>
      </c>
      <c r="B9" s="22">
        <v>4357</v>
      </c>
      <c r="C9" s="23" t="s">
        <v>22</v>
      </c>
      <c r="D9" s="24"/>
      <c r="E9" s="24">
        <v>32</v>
      </c>
      <c r="F9" s="24"/>
      <c r="G9" s="24"/>
      <c r="H9" s="24"/>
      <c r="I9" s="24"/>
      <c r="J9" s="24"/>
      <c r="K9" s="24"/>
      <c r="L9" s="24"/>
      <c r="M9" s="32"/>
      <c r="N9" s="24"/>
      <c r="O9" s="24"/>
      <c r="P9" s="24"/>
      <c r="Q9" s="24"/>
      <c r="R9" s="28">
        <f>G4*G9+E4*E9</f>
        <v>707.2</v>
      </c>
    </row>
    <row r="10" spans="1:18" ht="15.75" thickBot="1" x14ac:dyDescent="0.3">
      <c r="A10" s="27">
        <v>46268</v>
      </c>
      <c r="B10" s="22">
        <v>4880</v>
      </c>
      <c r="C10" s="23" t="s">
        <v>23</v>
      </c>
      <c r="D10" s="24"/>
      <c r="E10" s="24">
        <v>40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8">
        <f>E4*E10+G4*G10</f>
        <v>884</v>
      </c>
    </row>
    <row r="11" spans="1:18" ht="15.75" thickBot="1" x14ac:dyDescent="0.3">
      <c r="A11" s="27">
        <v>46268</v>
      </c>
      <c r="B11" s="22">
        <v>4875</v>
      </c>
      <c r="C11" s="23" t="s">
        <v>24</v>
      </c>
      <c r="D11" s="24"/>
      <c r="E11" s="24">
        <v>21</v>
      </c>
      <c r="F11" s="24"/>
      <c r="G11" s="24">
        <v>10</v>
      </c>
      <c r="H11" s="24"/>
      <c r="I11" s="24"/>
      <c r="J11" s="24"/>
      <c r="K11" s="24"/>
      <c r="L11" s="24"/>
      <c r="M11" s="29"/>
      <c r="N11" s="29"/>
      <c r="O11" s="29"/>
      <c r="P11" s="29"/>
      <c r="Q11" s="30"/>
      <c r="R11" s="28">
        <f>E4*E11+G4*G11</f>
        <v>685.1</v>
      </c>
    </row>
    <row r="12" spans="1:18" ht="15.75" thickBot="1" x14ac:dyDescent="0.3">
      <c r="A12" s="27">
        <v>46268</v>
      </c>
      <c r="B12" s="22" t="s">
        <v>25</v>
      </c>
      <c r="C12" s="23" t="s">
        <v>26</v>
      </c>
      <c r="D12" s="24"/>
      <c r="E12" s="24">
        <v>53</v>
      </c>
      <c r="F12" s="24"/>
      <c r="G12" s="24"/>
      <c r="H12" s="24"/>
      <c r="I12" s="24"/>
      <c r="J12" s="24"/>
      <c r="K12" s="24"/>
      <c r="L12" s="24"/>
      <c r="M12" s="29"/>
      <c r="N12" s="29"/>
      <c r="O12" s="29"/>
      <c r="P12" s="29"/>
      <c r="Q12" s="30"/>
      <c r="R12" s="28">
        <f>G4*G12+E4*E12</f>
        <v>1171.3000000000002</v>
      </c>
    </row>
    <row r="13" spans="1:18" ht="15.75" thickBot="1" x14ac:dyDescent="0.3">
      <c r="A13" s="27">
        <v>46268</v>
      </c>
      <c r="B13" s="22">
        <v>7698</v>
      </c>
      <c r="C13" s="23" t="s">
        <v>27</v>
      </c>
      <c r="D13" s="24"/>
      <c r="E13" s="24">
        <v>10</v>
      </c>
      <c r="F13" s="24"/>
      <c r="G13" s="24"/>
      <c r="H13" s="24"/>
      <c r="I13" s="24"/>
      <c r="J13" s="24"/>
      <c r="K13" s="24"/>
      <c r="L13" s="24"/>
      <c r="M13" s="29"/>
      <c r="N13" s="29"/>
      <c r="O13" s="29"/>
      <c r="P13" s="29"/>
      <c r="Q13" s="30"/>
      <c r="R13" s="28">
        <f>D4*D13+E4*E13+F4*F13+G4*G13+H11*H13+I11*I13+J11*J13+L11*L13+K11*K13+M11*M13+N11*N13+O11*O13+P11*P13+Q11*Q13</f>
        <v>221</v>
      </c>
    </row>
    <row r="14" spans="1:18" ht="15.75" thickBot="1" x14ac:dyDescent="0.3">
      <c r="A14" s="27">
        <v>46270</v>
      </c>
      <c r="B14" s="22">
        <v>4480</v>
      </c>
      <c r="C14" s="23" t="s">
        <v>28</v>
      </c>
      <c r="D14" s="24"/>
      <c r="E14" s="24">
        <v>16</v>
      </c>
      <c r="F14" s="24"/>
      <c r="G14" s="24">
        <v>14</v>
      </c>
      <c r="H14" s="24"/>
      <c r="I14" s="24"/>
      <c r="J14" s="24"/>
      <c r="K14" s="24"/>
      <c r="L14" s="24"/>
      <c r="M14" s="29"/>
      <c r="N14" s="29"/>
      <c r="O14" s="29"/>
      <c r="P14" s="29"/>
      <c r="Q14" s="30"/>
      <c r="R14" s="28">
        <f>D4*D14+E4*E14+F5*F14+G4*G14+H12*H14+I12*I14+J12*J14+L12*L14+K12*K14+M12*M14+N12*N14+O12*O14+P12*P14+Q12*Q14</f>
        <v>663</v>
      </c>
    </row>
    <row r="15" spans="1:18" ht="15.75" thickBot="1" x14ac:dyDescent="0.3">
      <c r="A15" s="21">
        <v>46270</v>
      </c>
      <c r="B15" s="22">
        <v>1714</v>
      </c>
      <c r="C15" s="23" t="s">
        <v>29</v>
      </c>
      <c r="D15" s="24"/>
      <c r="E15" s="24">
        <v>8</v>
      </c>
      <c r="F15" s="24"/>
      <c r="G15" s="24">
        <v>6</v>
      </c>
      <c r="H15" s="24"/>
      <c r="I15" s="24"/>
      <c r="J15" s="24"/>
      <c r="K15" s="24"/>
      <c r="L15" s="24"/>
      <c r="M15" s="29"/>
      <c r="N15" s="29"/>
      <c r="O15" s="29"/>
      <c r="P15" s="29"/>
      <c r="Q15" s="30"/>
      <c r="R15" s="28">
        <f>D6*D15+E4*E15+F6*F15+G4*G15+H13*H15+I13*I15+J13*J15+L13*L15+K13*K15+M13*M15+N13*N15+O13*O15+P13*P15+Q13*Q15</f>
        <v>309.40000000000003</v>
      </c>
    </row>
    <row r="16" spans="1:18" ht="15.75" thickBot="1" x14ac:dyDescent="0.3">
      <c r="A16" s="21">
        <v>46270</v>
      </c>
      <c r="B16" s="22">
        <v>1741</v>
      </c>
      <c r="C16" s="23" t="s">
        <v>30</v>
      </c>
      <c r="D16" s="24"/>
      <c r="E16" s="24">
        <v>11</v>
      </c>
      <c r="F16" s="24"/>
      <c r="G16" s="24">
        <v>8</v>
      </c>
      <c r="H16" s="24"/>
      <c r="I16" s="24"/>
      <c r="J16" s="24"/>
      <c r="K16" s="24"/>
      <c r="L16" s="24"/>
      <c r="M16" s="29"/>
      <c r="N16" s="29"/>
      <c r="O16" s="29"/>
      <c r="P16" s="29"/>
      <c r="Q16" s="30"/>
      <c r="R16" s="28">
        <f>D7*D16+E4*E16+F7*F16+G4*G16+H14*H16+I14*I16+J14*J16+L14*L16+K14*K16+M14*M16+N14*N16+O14*O16+P14*P16+Q14*Q16</f>
        <v>419.90000000000003</v>
      </c>
    </row>
    <row r="17" spans="1:18" s="4" customFormat="1" ht="15.75" thickBot="1" x14ac:dyDescent="0.3">
      <c r="A17" s="21"/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9"/>
      <c r="N17" s="29"/>
      <c r="O17" s="29"/>
      <c r="P17" s="29"/>
      <c r="Q17" s="30"/>
      <c r="R17" s="28">
        <f>D4*D17+E4*E17+F4*F17+G4*G17+H15*H17+I15*I17+J15*J17+L4*L17+K15*K17+M15*M17+N15*N17+O15*O17+P15*P17+Q15*Q17</f>
        <v>0</v>
      </c>
    </row>
    <row r="18" spans="1:18" s="4" customFormat="1" ht="15.75" thickBot="1" x14ac:dyDescent="0.3">
      <c r="A18" s="21"/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9"/>
      <c r="N18" s="29"/>
      <c r="O18" s="29"/>
      <c r="P18" s="29"/>
      <c r="Q18" s="30"/>
      <c r="R18" s="28">
        <f>D4*D18+E4*E18+F4*F18+G4*G18+H16*H18+I16*I18+J16*J18+L16*L18+K16*K18+M4*M18+N16*N18+O16*O18+P16*P18+Q16*Q18</f>
        <v>0</v>
      </c>
    </row>
    <row r="19" spans="1:18" s="4" customFormat="1" ht="15.75" thickBot="1" x14ac:dyDescent="0.3">
      <c r="A19" s="21"/>
      <c r="B19" s="22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9"/>
      <c r="N19" s="29"/>
      <c r="O19" s="29"/>
      <c r="P19" s="29"/>
      <c r="Q19" s="30"/>
      <c r="R19" s="28">
        <f>D4*D19+E4*E19+F4*F19+G4*G19+H4*H19+I4*I19+J4*J19+L4*L19+K4*K19+M4*M19+N4*N19+O4*O19+P4*P19+Q4*Q19</f>
        <v>0</v>
      </c>
    </row>
    <row r="20" spans="1:18" s="4" customFormat="1" ht="15.75" thickBot="1" x14ac:dyDescent="0.3">
      <c r="A20" s="21"/>
      <c r="B20" s="22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9"/>
      <c r="N20" s="29"/>
      <c r="O20" s="29"/>
      <c r="P20" s="29"/>
      <c r="Q20" s="30"/>
      <c r="R20" s="28">
        <f>D4*D20+E17*E20+F4*F20+G4*G20+H17*H20+I17*I20+J17*J20+L17*L20+K17*K20+M17*M20+N17*N20+O17*O20+P17*P20+Q17*Q20</f>
        <v>0</v>
      </c>
    </row>
    <row r="21" spans="1:18" s="4" customFormat="1" ht="15.75" thickBot="1" x14ac:dyDescent="0.3">
      <c r="A21" s="21"/>
      <c r="B21" s="22"/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9"/>
      <c r="N21" s="29"/>
      <c r="O21" s="29"/>
      <c r="P21" s="29"/>
      <c r="Q21" s="30"/>
      <c r="R21" s="28">
        <f>D4*D21+E4*E21+F4*F21+G4*G21+H4*H21+I4*I21+J4*J21+L4*L21+K4*K21+M4*M21+N4*N21+O4*O21+P4*P21+Q4*Q21</f>
        <v>0</v>
      </c>
    </row>
    <row r="22" spans="1:18" s="4" customFormat="1" ht="15.75" thickBot="1" x14ac:dyDescent="0.3">
      <c r="A22" s="21"/>
      <c r="B22" s="22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9"/>
      <c r="N22" s="29"/>
      <c r="O22" s="29"/>
      <c r="P22" s="29"/>
      <c r="Q22" s="30"/>
      <c r="R22" s="28">
        <f>D4*D22+E4*E22+F4*F22+G4*G22+H4*H22+I4*I22+J4*J22+L4*L22+K4*K22+M4*M22+N4*N22+O4*O22+P4*P22+Q4*Q22</f>
        <v>0</v>
      </c>
    </row>
    <row r="23" spans="1:18" s="4" customFormat="1" ht="15.75" thickBot="1" x14ac:dyDescent="0.3">
      <c r="A23" s="21"/>
      <c r="B23" s="22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9"/>
      <c r="N23" s="29"/>
      <c r="O23" s="29"/>
      <c r="P23" s="29"/>
      <c r="Q23" s="30"/>
      <c r="R23" s="28">
        <f>D4*D23+E4*E23+F4*F23+G4*G23+H4*H23+I4*I23+J4*J23+L4*L23+K4*K23+M4*M23+N4*N23+O4*O23+P4*P23+Q4*Q23</f>
        <v>0</v>
      </c>
    </row>
    <row r="24" spans="1:18" s="4" customFormat="1" ht="15.75" thickBot="1" x14ac:dyDescent="0.3">
      <c r="A24" s="21"/>
      <c r="B24" s="22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9"/>
      <c r="N24" s="29"/>
      <c r="O24" s="29"/>
      <c r="P24" s="29"/>
      <c r="Q24" s="30"/>
      <c r="R24" s="28">
        <f>D4*D24+E4*E24+F4*F24+G4*G24+H4*H24+I4*I24+J4*J24+L4*L24+K4*K24+M4*M24+N4*N24+O4*O24+P4*P24+Q4*Q24</f>
        <v>0</v>
      </c>
    </row>
    <row r="25" spans="1:18" s="4" customFormat="1" ht="15.75" thickBot="1" x14ac:dyDescent="0.3">
      <c r="A25" s="33" t="s">
        <v>31</v>
      </c>
      <c r="B25" s="33"/>
      <c r="C25" s="34"/>
      <c r="D25" s="35"/>
      <c r="E25" s="35"/>
      <c r="F25" s="35"/>
      <c r="G25" s="35"/>
      <c r="H25" s="35"/>
      <c r="I25" s="35"/>
      <c r="J25" s="35"/>
      <c r="K25" s="35"/>
      <c r="L25" s="36"/>
      <c r="M25" s="37"/>
      <c r="N25" s="37"/>
      <c r="O25" s="38" t="s">
        <v>32</v>
      </c>
      <c r="P25" s="39"/>
      <c r="Q25" s="39"/>
      <c r="R25" s="28">
        <f>SUM(R5:R24)</f>
        <v>8972.6</v>
      </c>
    </row>
    <row r="26" spans="1:18" s="4" customFormat="1" ht="15.75" thickBot="1" x14ac:dyDescent="0.3">
      <c r="A26" s="40" t="s">
        <v>33</v>
      </c>
      <c r="B26" s="40"/>
      <c r="C26" s="40"/>
      <c r="D26" s="41">
        <f>SUM(D5:D24)</f>
        <v>0</v>
      </c>
      <c r="E26" s="41">
        <f>SUM(E5:E21)</f>
        <v>326</v>
      </c>
      <c r="F26" s="41">
        <f>SUM(F5:F24)</f>
        <v>0</v>
      </c>
      <c r="G26" s="41">
        <f t="shared" ref="G26:Q26" si="0">SUM(G5:G20)</f>
        <v>80</v>
      </c>
      <c r="H26" s="41">
        <f t="shared" si="0"/>
        <v>0</v>
      </c>
      <c r="I26" s="41">
        <f t="shared" si="0"/>
        <v>0</v>
      </c>
      <c r="J26" s="41">
        <f t="shared" si="0"/>
        <v>0</v>
      </c>
      <c r="K26" s="41">
        <f t="shared" si="0"/>
        <v>0</v>
      </c>
      <c r="L26" s="41">
        <f t="shared" si="0"/>
        <v>0</v>
      </c>
      <c r="M26" s="41">
        <f t="shared" si="0"/>
        <v>0</v>
      </c>
      <c r="N26" s="41">
        <f t="shared" si="0"/>
        <v>0</v>
      </c>
      <c r="O26" s="41">
        <f t="shared" si="0"/>
        <v>0</v>
      </c>
      <c r="P26" s="41">
        <f t="shared" si="0"/>
        <v>0</v>
      </c>
      <c r="Q26" s="41">
        <f t="shared" si="0"/>
        <v>0</v>
      </c>
      <c r="R26" s="42">
        <f>SUM(D26:E26:F26:G26:H26:I26: J26:K26:L26:M26:N26:O26)</f>
        <v>406</v>
      </c>
    </row>
    <row r="27" spans="1:18" s="4" customFormat="1" ht="15.75" thickBot="1" x14ac:dyDescent="0.3">
      <c r="A27" s="43" t="s">
        <v>34</v>
      </c>
      <c r="B27" s="43"/>
      <c r="C27" s="43"/>
      <c r="D27" s="44">
        <f>D4*D26</f>
        <v>0</v>
      </c>
      <c r="E27" s="44">
        <f t="shared" ref="E27:Q27" si="1">E4*E26</f>
        <v>7204.6</v>
      </c>
      <c r="F27" s="44">
        <f>F4*F26</f>
        <v>0</v>
      </c>
      <c r="G27" s="44">
        <f t="shared" si="1"/>
        <v>1768</v>
      </c>
      <c r="H27" s="44">
        <f t="shared" si="1"/>
        <v>0</v>
      </c>
      <c r="I27" s="44">
        <f t="shared" si="1"/>
        <v>0</v>
      </c>
      <c r="J27" s="44">
        <f t="shared" si="1"/>
        <v>0</v>
      </c>
      <c r="K27" s="44">
        <f t="shared" si="1"/>
        <v>0</v>
      </c>
      <c r="L27" s="44">
        <f t="shared" si="1"/>
        <v>0</v>
      </c>
      <c r="M27" s="44">
        <f t="shared" si="1"/>
        <v>0</v>
      </c>
      <c r="N27" s="44">
        <f t="shared" si="1"/>
        <v>0</v>
      </c>
      <c r="O27" s="44">
        <f t="shared" si="1"/>
        <v>0</v>
      </c>
      <c r="P27" s="44">
        <f t="shared" si="1"/>
        <v>0</v>
      </c>
      <c r="Q27" s="44">
        <f t="shared" si="1"/>
        <v>0</v>
      </c>
      <c r="R27" s="45">
        <f>SUM(E27:G27)</f>
        <v>8972.6</v>
      </c>
    </row>
    <row r="30" spans="1:18" s="4" customFormat="1" ht="15.75" thickBot="1" x14ac:dyDescent="0.3">
      <c r="A30" s="1" t="s">
        <v>35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</row>
    <row r="31" spans="1:18" s="4" customFormat="1" ht="15.75" thickBot="1" x14ac:dyDescent="0.3">
      <c r="A31" s="5" t="s">
        <v>1</v>
      </c>
      <c r="B31" s="5" t="s">
        <v>2</v>
      </c>
      <c r="C31" s="6" t="s">
        <v>3</v>
      </c>
      <c r="D31" s="46" t="s">
        <v>36</v>
      </c>
      <c r="E31" s="8" t="s">
        <v>5</v>
      </c>
      <c r="F31" s="8" t="s">
        <v>37</v>
      </c>
      <c r="G31" s="10" t="s">
        <v>13</v>
      </c>
      <c r="H31" s="8"/>
      <c r="I31" s="8"/>
      <c r="J31" s="10" t="s">
        <v>38</v>
      </c>
      <c r="K31" s="10" t="s">
        <v>39</v>
      </c>
      <c r="L31" s="10" t="s">
        <v>40</v>
      </c>
      <c r="M31" s="10" t="s">
        <v>13</v>
      </c>
      <c r="N31" s="11" t="s">
        <v>13</v>
      </c>
      <c r="O31" s="11" t="s">
        <v>41</v>
      </c>
      <c r="P31" s="11" t="s">
        <v>42</v>
      </c>
      <c r="Q31" s="11" t="s">
        <v>43</v>
      </c>
      <c r="R31" s="12" t="s">
        <v>17</v>
      </c>
    </row>
    <row r="32" spans="1:18" s="4" customFormat="1" ht="15.75" thickBot="1" x14ac:dyDescent="0.3">
      <c r="A32" s="13"/>
      <c r="B32" s="13"/>
      <c r="C32" s="47"/>
      <c r="D32" s="48">
        <v>22.5</v>
      </c>
      <c r="E32" s="16">
        <v>25</v>
      </c>
      <c r="F32" s="18">
        <v>22.5</v>
      </c>
      <c r="G32" s="16">
        <v>22</v>
      </c>
      <c r="H32" s="16"/>
      <c r="I32" s="16"/>
      <c r="J32" s="18">
        <v>19</v>
      </c>
      <c r="K32" s="18">
        <v>19</v>
      </c>
      <c r="L32" s="18">
        <v>24.5</v>
      </c>
      <c r="M32" s="18">
        <v>19.5</v>
      </c>
      <c r="N32" s="16">
        <v>0</v>
      </c>
      <c r="O32" s="19">
        <v>21</v>
      </c>
      <c r="P32" s="19">
        <v>16</v>
      </c>
      <c r="Q32" s="19">
        <v>10</v>
      </c>
      <c r="R32" s="20"/>
    </row>
    <row r="33" spans="1:18" s="4" customFormat="1" ht="15.75" thickBot="1" x14ac:dyDescent="0.3">
      <c r="A33" s="49">
        <v>46265</v>
      </c>
      <c r="B33" s="50">
        <v>7191</v>
      </c>
      <c r="C33" s="51"/>
      <c r="D33" s="52"/>
      <c r="E33" s="53">
        <v>84</v>
      </c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4">
        <f>E32*E33</f>
        <v>2100</v>
      </c>
    </row>
    <row r="34" spans="1:18" s="4" customFormat="1" ht="15.75" thickBot="1" x14ac:dyDescent="0.3">
      <c r="A34" s="55">
        <v>46269</v>
      </c>
      <c r="B34" s="50">
        <v>18754</v>
      </c>
      <c r="C34" s="51"/>
      <c r="D34" s="52"/>
      <c r="E34" s="53">
        <v>105</v>
      </c>
      <c r="F34" s="56"/>
      <c r="G34" s="56">
        <v>27</v>
      </c>
      <c r="H34" s="56"/>
      <c r="I34" s="56"/>
      <c r="J34" s="57"/>
      <c r="K34" s="52"/>
      <c r="L34" s="52"/>
      <c r="M34" s="58"/>
      <c r="N34" s="52"/>
      <c r="O34" s="52"/>
      <c r="P34" s="52"/>
      <c r="Q34" s="52"/>
      <c r="R34" s="59">
        <f>D32*D34+E32*E34+F33*F34+G32*G34+J33*J34+L33*L34+K33*H3836+M32*M34+N32*N34+O33*O34+P33*P34+Q33*Q34</f>
        <v>3219</v>
      </c>
    </row>
    <row r="35" spans="1:18" s="4" customFormat="1" ht="15.75" thickBot="1" x14ac:dyDescent="0.3">
      <c r="A35" s="60"/>
      <c r="B35" s="50"/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61"/>
      <c r="R35" s="59">
        <f>D33*D35+E32*E35+F34*F35+G34*G35+J34*J35+L34*L35+K34*H3837+M32*M35+N32*N35+O34*O35+P34*P35+Q34*Q35</f>
        <v>0</v>
      </c>
    </row>
    <row r="36" spans="1:18" s="4" customFormat="1" ht="15.75" thickBot="1" x14ac:dyDescent="0.3">
      <c r="A36" s="55"/>
      <c r="B36" s="62"/>
      <c r="C36" s="63"/>
      <c r="D36" s="52"/>
      <c r="E36" s="53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61"/>
      <c r="R36" s="59">
        <f>E32*E36</f>
        <v>0</v>
      </c>
    </row>
    <row r="37" spans="1:18" s="4" customFormat="1" ht="15.75" thickBot="1" x14ac:dyDescent="0.3">
      <c r="A37" s="55"/>
      <c r="B37" s="64"/>
      <c r="C37" s="6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/>
      <c r="O37" s="52"/>
      <c r="P37" s="52"/>
      <c r="Q37" s="61"/>
      <c r="R37" s="65">
        <f>D32*D37+E32*E37+F32*F37+G32*G37+J32*J37+K32*K37+L32*L37+M32*M37+N32*L34+O32*O37+P32*P37+Q32*Q37</f>
        <v>0</v>
      </c>
    </row>
    <row r="38" spans="1:18" s="4" customFormat="1" ht="15.75" thickBot="1" x14ac:dyDescent="0.3">
      <c r="A38" s="55"/>
      <c r="B38" s="62"/>
      <c r="C38" s="6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61"/>
      <c r="R38" s="65">
        <f>D32*D38+E32*E38+F32*F38+G32*G38+J32*J38+K32*K38+L32*L38+M32*M38+N32*N38+O32*O38+P32*P38+Q32*Q38</f>
        <v>0</v>
      </c>
    </row>
    <row r="39" spans="1:18" s="4" customFormat="1" ht="15.75" thickBot="1" x14ac:dyDescent="0.3">
      <c r="A39" s="55"/>
      <c r="B39" s="62"/>
      <c r="C39" s="63"/>
      <c r="D39" s="53"/>
      <c r="E39" s="52"/>
      <c r="F39" s="52"/>
      <c r="G39" s="52"/>
      <c r="H39" s="52"/>
      <c r="I39" s="52"/>
      <c r="J39" s="52"/>
      <c r="K39" s="52"/>
      <c r="L39" s="66"/>
      <c r="M39" s="52"/>
      <c r="N39" s="52"/>
      <c r="O39" s="52"/>
      <c r="P39" s="52"/>
      <c r="Q39" s="61"/>
      <c r="R39" s="65">
        <v>0</v>
      </c>
    </row>
    <row r="40" spans="1:18" s="4" customFormat="1" ht="15.75" thickBot="1" x14ac:dyDescent="0.3">
      <c r="A40" s="33" t="s">
        <v>31</v>
      </c>
      <c r="B40" s="33">
        <v>65845</v>
      </c>
      <c r="C40" s="34"/>
      <c r="D40" s="35"/>
      <c r="E40" s="35"/>
      <c r="F40" s="35"/>
      <c r="G40" s="35"/>
      <c r="H40" s="35"/>
      <c r="I40" s="35"/>
      <c r="J40" s="35"/>
      <c r="K40" s="35"/>
      <c r="L40" s="36"/>
      <c r="M40" s="37"/>
      <c r="N40" s="37"/>
      <c r="O40" s="38" t="s">
        <v>32</v>
      </c>
      <c r="P40" s="39"/>
      <c r="Q40" s="39"/>
      <c r="R40" s="67">
        <f>SUM(R33:R39)</f>
        <v>5319</v>
      </c>
    </row>
    <row r="41" spans="1:18" s="4" customFormat="1" ht="15.75" thickBot="1" x14ac:dyDescent="0.3">
      <c r="A41" s="40" t="s">
        <v>33</v>
      </c>
      <c r="B41" s="40"/>
      <c r="C41" s="40"/>
      <c r="D41" s="68">
        <f>SUM(D33:D39)</f>
        <v>0</v>
      </c>
      <c r="E41" s="68">
        <f>SUM(E33:E39)</f>
        <v>189</v>
      </c>
      <c r="F41" s="68">
        <f>SUM(F33:F39)</f>
        <v>0</v>
      </c>
      <c r="G41" s="68">
        <f>SUM(G33:G39)</f>
        <v>27</v>
      </c>
      <c r="H41" s="68"/>
      <c r="I41" s="68"/>
      <c r="J41" s="68">
        <f t="shared" ref="J41:Q41" si="2">SUM(J33:J39)</f>
        <v>0</v>
      </c>
      <c r="K41" s="68">
        <f t="shared" si="2"/>
        <v>0</v>
      </c>
      <c r="L41" s="68">
        <f t="shared" si="2"/>
        <v>0</v>
      </c>
      <c r="M41" s="68">
        <f t="shared" si="2"/>
        <v>0</v>
      </c>
      <c r="N41" s="68">
        <f t="shared" si="2"/>
        <v>0</v>
      </c>
      <c r="O41" s="68">
        <f t="shared" si="2"/>
        <v>0</v>
      </c>
      <c r="P41" s="68">
        <f t="shared" si="2"/>
        <v>0</v>
      </c>
      <c r="Q41" s="68">
        <f t="shared" si="2"/>
        <v>0</v>
      </c>
      <c r="R41" s="69">
        <f>SUM(D41:E41:F41:G41:J41:K41:L41:M41:N41:O41:P41:Q41)</f>
        <v>216</v>
      </c>
    </row>
    <row r="42" spans="1:18" s="4" customFormat="1" ht="15.75" thickBot="1" x14ac:dyDescent="0.3">
      <c r="A42" s="43" t="s">
        <v>34</v>
      </c>
      <c r="B42" s="43"/>
      <c r="C42" s="43"/>
      <c r="D42" s="44">
        <f>D32*D41</f>
        <v>0</v>
      </c>
      <c r="E42" s="44">
        <f>E32*E41</f>
        <v>4725</v>
      </c>
      <c r="F42" s="44">
        <f>F32*F41</f>
        <v>0</v>
      </c>
      <c r="G42" s="44">
        <f>G32*G41</f>
        <v>594</v>
      </c>
      <c r="H42" s="44"/>
      <c r="I42" s="44"/>
      <c r="J42" s="44">
        <f t="shared" ref="J42:Q42" si="3">J32*J41</f>
        <v>0</v>
      </c>
      <c r="K42" s="44">
        <f t="shared" si="3"/>
        <v>0</v>
      </c>
      <c r="L42" s="44">
        <f t="shared" si="3"/>
        <v>0</v>
      </c>
      <c r="M42" s="44">
        <f t="shared" si="3"/>
        <v>0</v>
      </c>
      <c r="N42" s="44">
        <f t="shared" si="3"/>
        <v>0</v>
      </c>
      <c r="O42" s="44">
        <f t="shared" si="3"/>
        <v>0</v>
      </c>
      <c r="P42" s="44">
        <f t="shared" si="3"/>
        <v>0</v>
      </c>
      <c r="Q42" s="44">
        <f t="shared" si="3"/>
        <v>0</v>
      </c>
      <c r="R42" s="45">
        <f>SUM(D42:Q42)</f>
        <v>5319</v>
      </c>
    </row>
    <row r="45" spans="1:18" s="4" customFormat="1" ht="15.75" thickBot="1" x14ac:dyDescent="0.3">
      <c r="A45" s="1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</row>
    <row r="46" spans="1:18" s="4" customFormat="1" ht="15.75" thickBot="1" x14ac:dyDescent="0.3">
      <c r="A46" s="5" t="s">
        <v>1</v>
      </c>
      <c r="B46" s="5" t="s">
        <v>2</v>
      </c>
      <c r="C46" s="6" t="s">
        <v>3</v>
      </c>
      <c r="D46" s="46" t="s">
        <v>36</v>
      </c>
      <c r="E46" s="8" t="s">
        <v>5</v>
      </c>
      <c r="F46" s="8" t="s">
        <v>37</v>
      </c>
      <c r="G46" s="8" t="s">
        <v>7</v>
      </c>
      <c r="H46" s="8" t="s">
        <v>45</v>
      </c>
      <c r="I46" s="8" t="s">
        <v>46</v>
      </c>
      <c r="J46" s="10" t="s">
        <v>47</v>
      </c>
      <c r="K46" s="10" t="s">
        <v>38</v>
      </c>
      <c r="L46" s="10" t="s">
        <v>39</v>
      </c>
      <c r="M46" s="10" t="s">
        <v>13</v>
      </c>
      <c r="N46" s="11" t="s">
        <v>14</v>
      </c>
      <c r="O46" s="11" t="s">
        <v>48</v>
      </c>
      <c r="P46" s="11" t="s">
        <v>16</v>
      </c>
      <c r="Q46" s="11" t="s">
        <v>49</v>
      </c>
      <c r="R46" s="12" t="s">
        <v>17</v>
      </c>
    </row>
    <row r="47" spans="1:18" s="4" customFormat="1" ht="15.75" thickBot="1" x14ac:dyDescent="0.3">
      <c r="A47" s="13"/>
      <c r="B47" s="13"/>
      <c r="C47" s="70"/>
      <c r="D47" s="48">
        <v>24.5</v>
      </c>
      <c r="E47" s="16">
        <v>27</v>
      </c>
      <c r="F47" s="18">
        <v>24.5</v>
      </c>
      <c r="G47" s="16"/>
      <c r="H47" s="16">
        <v>27</v>
      </c>
      <c r="I47" s="71">
        <v>20.5</v>
      </c>
      <c r="J47" s="18">
        <v>24.5</v>
      </c>
      <c r="K47" s="18">
        <v>24.5</v>
      </c>
      <c r="L47" s="18">
        <v>22</v>
      </c>
      <c r="M47" s="16">
        <v>22</v>
      </c>
      <c r="N47" s="18">
        <v>24.5</v>
      </c>
      <c r="O47" s="72">
        <v>29</v>
      </c>
      <c r="P47" s="19">
        <v>17.5</v>
      </c>
      <c r="Q47" s="72">
        <v>27</v>
      </c>
      <c r="R47" s="20"/>
    </row>
    <row r="48" spans="1:18" s="4" customFormat="1" ht="15.75" thickBot="1" x14ac:dyDescent="0.3">
      <c r="A48" s="73">
        <v>46266</v>
      </c>
      <c r="B48" s="74">
        <v>10641</v>
      </c>
      <c r="C48" s="75"/>
      <c r="D48" s="52"/>
      <c r="E48" s="76">
        <v>180</v>
      </c>
      <c r="F48" s="52"/>
      <c r="G48" s="76"/>
      <c r="H48" s="76"/>
      <c r="I48" s="77"/>
      <c r="J48" s="52"/>
      <c r="K48" s="52"/>
      <c r="L48" s="78"/>
      <c r="M48" s="53"/>
      <c r="N48" s="52"/>
      <c r="O48" s="78"/>
      <c r="P48" s="52"/>
      <c r="Q48" s="53">
        <v>21</v>
      </c>
      <c r="R48" s="79">
        <f>D47*D48+E47*E48+F45*F47+G45*G48+J47*J48+K45*K48+L47*L48+M47*M48+N45*N48+O47*O48+P45*P48+Q47*Q48+H47*H48</f>
        <v>5427</v>
      </c>
    </row>
    <row r="49" spans="1:19" s="4" customFormat="1" ht="15.75" thickBot="1" x14ac:dyDescent="0.3">
      <c r="A49" s="27">
        <v>46268</v>
      </c>
      <c r="B49" s="22">
        <v>18956</v>
      </c>
      <c r="C49" s="80"/>
      <c r="D49" s="52"/>
      <c r="E49" s="81">
        <v>70</v>
      </c>
      <c r="F49" s="52"/>
      <c r="G49" s="76"/>
      <c r="H49" s="76"/>
      <c r="I49" s="77"/>
      <c r="J49" s="52"/>
      <c r="K49" s="52"/>
      <c r="L49" s="52"/>
      <c r="M49" s="53"/>
      <c r="N49" s="52"/>
      <c r="O49" s="52"/>
      <c r="P49" s="52"/>
      <c r="Q49" s="53"/>
      <c r="R49" s="59">
        <f>D47*D49+E47*E49+F47*F49+G47*G49+J47*J49+L47*L49+K47*K49+M47*M49+N47*N49+O47*O49+P47*P49+Q47*Q49+H47*H49+I47*I49</f>
        <v>1890</v>
      </c>
    </row>
    <row r="50" spans="1:19" s="4" customFormat="1" ht="15.75" thickBot="1" x14ac:dyDescent="0.3">
      <c r="A50" s="27">
        <v>46238</v>
      </c>
      <c r="B50" s="22">
        <v>18957</v>
      </c>
      <c r="C50" s="82"/>
      <c r="D50" s="52"/>
      <c r="E50" s="53">
        <v>200</v>
      </c>
      <c r="F50" s="56"/>
      <c r="G50" s="56"/>
      <c r="H50" s="53"/>
      <c r="I50" s="56"/>
      <c r="J50" s="52"/>
      <c r="K50" s="57"/>
      <c r="L50" s="52"/>
      <c r="M50" s="52"/>
      <c r="N50" s="52"/>
      <c r="O50" s="52"/>
      <c r="P50" s="52"/>
      <c r="Q50" s="53"/>
      <c r="R50" s="59">
        <f>D47*D50+E47*E50+F48*F50+G48*G50+J48*J50+L47*L50+K48*K50+M47*M50+N48*N50+O47*O50+P48*P50+Q47*Q50+H47*H50+I48*I50+J47*J50</f>
        <v>5400</v>
      </c>
    </row>
    <row r="51" spans="1:19" s="4" customFormat="1" ht="15.75" thickBot="1" x14ac:dyDescent="0.3">
      <c r="A51" s="21"/>
      <c r="B51" s="22"/>
      <c r="C51" s="82"/>
      <c r="D51" s="56"/>
      <c r="E51" s="53"/>
      <c r="F51" s="53"/>
      <c r="G51" s="53"/>
      <c r="H51" s="53"/>
      <c r="I51" s="53"/>
      <c r="J51" s="53"/>
      <c r="K51" s="83"/>
      <c r="L51" s="53"/>
      <c r="M51" s="53"/>
      <c r="N51" s="53"/>
      <c r="O51" s="53"/>
      <c r="P51" s="53"/>
      <c r="Q51" s="53"/>
      <c r="R51" s="79">
        <f>D47*D51+E47*E51+F47*F51+G47*G51+J47*J51+K51*K47+L47*L51+M47*M51+N47*N51+O47*O51+P47*P51+Q47*Q51+H47*H51</f>
        <v>0</v>
      </c>
    </row>
    <row r="52" spans="1:19" s="4" customFormat="1" ht="15.75" thickBot="1" x14ac:dyDescent="0.3">
      <c r="A52" s="27"/>
      <c r="B52" s="22"/>
      <c r="C52" s="23"/>
      <c r="D52" s="52"/>
      <c r="E52" s="52"/>
      <c r="F52" s="52"/>
      <c r="G52" s="52"/>
      <c r="H52" s="56"/>
      <c r="I52" s="56"/>
      <c r="J52" s="52"/>
      <c r="K52" s="52"/>
      <c r="L52" s="52"/>
      <c r="M52" s="52"/>
      <c r="N52" s="52"/>
      <c r="O52" s="52"/>
      <c r="P52" s="52"/>
      <c r="Q52" s="52"/>
      <c r="R52" s="65">
        <f>D47*D52+E47*E52+F47*F52+G47*G52+J47*J52+K47*K52+L47*L52+M47*M52+N47*N52+O47*O52+P47*P52+Q47*Q52</f>
        <v>0</v>
      </c>
    </row>
    <row r="53" spans="1:19" s="4" customFormat="1" ht="15.75" thickBot="1" x14ac:dyDescent="0.3">
      <c r="A53" s="27"/>
      <c r="B53" s="22"/>
      <c r="C53" s="23"/>
      <c r="D53" s="52"/>
      <c r="E53" s="66"/>
      <c r="F53" s="66"/>
      <c r="G53" s="66"/>
      <c r="H53" s="84"/>
      <c r="I53" s="84"/>
      <c r="J53" s="66"/>
      <c r="K53" s="66"/>
      <c r="L53" s="52"/>
      <c r="M53" s="52"/>
      <c r="N53" s="52"/>
      <c r="O53" s="52"/>
      <c r="P53" s="52"/>
      <c r="Q53" s="52"/>
      <c r="R53" s="65">
        <f>D47*D53+E47*E53+F47*F53+G47*G53+J47*J53+K47*K53+L47*L53+M47*M53+N47*N53+O47*O53+P47*P53+Q47*Q53</f>
        <v>0</v>
      </c>
    </row>
    <row r="54" spans="1:19" s="4" customFormat="1" ht="15.75" thickBot="1" x14ac:dyDescent="0.3">
      <c r="A54" s="23"/>
      <c r="B54" s="85"/>
      <c r="C54" s="86"/>
      <c r="D54" s="52"/>
      <c r="E54" s="52"/>
      <c r="F54" s="52"/>
      <c r="G54" s="52"/>
      <c r="H54" s="52"/>
      <c r="I54" s="52"/>
      <c r="J54" s="52"/>
      <c r="K54" s="52"/>
      <c r="L54" s="87"/>
      <c r="M54" s="87"/>
      <c r="N54" s="87"/>
      <c r="O54" s="87"/>
      <c r="P54" s="87"/>
      <c r="Q54" s="61"/>
      <c r="R54" s="65">
        <f>D47*D54+E47*E54+F47*F54+G47*G54+J47*J54+K47*K54+L47*L54+M47*M54+N47*N54+O47*O54+P47*P54+Q47*Q54</f>
        <v>0</v>
      </c>
    </row>
    <row r="55" spans="1:19" s="4" customFormat="1" ht="15.75" thickBot="1" x14ac:dyDescent="0.3">
      <c r="A55" s="88"/>
      <c r="B55" s="89"/>
      <c r="C55" s="34"/>
      <c r="D55" s="35"/>
      <c r="E55" s="35"/>
      <c r="F55" s="35"/>
      <c r="G55" s="35"/>
      <c r="H55" s="35"/>
      <c r="I55" s="35"/>
      <c r="J55" s="35"/>
      <c r="K55" s="35"/>
      <c r="L55" s="90"/>
      <c r="M55" s="90"/>
      <c r="N55" s="90"/>
      <c r="O55" s="91" t="s">
        <v>32</v>
      </c>
      <c r="P55" s="92"/>
      <c r="Q55" s="39"/>
      <c r="R55" s="67">
        <f>SUM(R48:R54)</f>
        <v>12717</v>
      </c>
    </row>
    <row r="56" spans="1:19" s="4" customFormat="1" ht="15.75" thickBot="1" x14ac:dyDescent="0.3">
      <c r="A56" s="93" t="s">
        <v>33</v>
      </c>
      <c r="B56" s="40"/>
      <c r="C56" s="40"/>
      <c r="D56" s="41">
        <f>SUM(D48:D54)</f>
        <v>0</v>
      </c>
      <c r="E56" s="41">
        <f>SUM(E48:E54)</f>
        <v>450</v>
      </c>
      <c r="F56" s="41">
        <f>SUM(F48:F54)</f>
        <v>0</v>
      </c>
      <c r="G56" s="41">
        <f>SUM(G48:G54)</f>
        <v>0</v>
      </c>
      <c r="H56" s="41">
        <f>SUM(H48:H54)</f>
        <v>0</v>
      </c>
      <c r="I56" s="41"/>
      <c r="J56" s="41">
        <f t="shared" ref="J56:Q56" si="4">SUM(J48:J54)</f>
        <v>0</v>
      </c>
      <c r="K56" s="41">
        <f t="shared" si="4"/>
        <v>0</v>
      </c>
      <c r="L56" s="41">
        <f t="shared" si="4"/>
        <v>0</v>
      </c>
      <c r="M56" s="41">
        <f t="shared" si="4"/>
        <v>0</v>
      </c>
      <c r="N56" s="41">
        <f t="shared" si="4"/>
        <v>0</v>
      </c>
      <c r="O56" s="41">
        <f t="shared" si="4"/>
        <v>0</v>
      </c>
      <c r="P56" s="41">
        <f t="shared" si="4"/>
        <v>0</v>
      </c>
      <c r="Q56" s="41">
        <f t="shared" si="4"/>
        <v>21</v>
      </c>
      <c r="R56" s="69">
        <f>SUM(D56:E56:F56:G56:J56:K56:L56:M56:N56:O56:P56:Q56)</f>
        <v>471</v>
      </c>
    </row>
    <row r="57" spans="1:19" s="4" customFormat="1" ht="15.75" thickBot="1" x14ac:dyDescent="0.3">
      <c r="A57" s="94" t="s">
        <v>34</v>
      </c>
      <c r="B57" s="43"/>
      <c r="C57" s="43"/>
      <c r="D57" s="44">
        <f>D47*D56</f>
        <v>0</v>
      </c>
      <c r="E57" s="44">
        <f>E47*E56</f>
        <v>12150</v>
      </c>
      <c r="F57" s="44">
        <f>F47*F56</f>
        <v>0</v>
      </c>
      <c r="G57" s="44">
        <f>G47*G56</f>
        <v>0</v>
      </c>
      <c r="H57" s="44">
        <f>H47*H56</f>
        <v>0</v>
      </c>
      <c r="I57" s="44"/>
      <c r="J57" s="44">
        <f t="shared" ref="J57:Q57" si="5">J47*J56</f>
        <v>0</v>
      </c>
      <c r="K57" s="44">
        <f t="shared" si="5"/>
        <v>0</v>
      </c>
      <c r="L57" s="44">
        <f t="shared" si="5"/>
        <v>0</v>
      </c>
      <c r="M57" s="44">
        <f t="shared" si="5"/>
        <v>0</v>
      </c>
      <c r="N57" s="44">
        <f t="shared" si="5"/>
        <v>0</v>
      </c>
      <c r="O57" s="44">
        <f t="shared" si="5"/>
        <v>0</v>
      </c>
      <c r="P57" s="44">
        <f t="shared" si="5"/>
        <v>0</v>
      </c>
      <c r="Q57" s="44">
        <f t="shared" si="5"/>
        <v>567</v>
      </c>
      <c r="R57" s="45">
        <f>SUM(D57:Q57)</f>
        <v>12717</v>
      </c>
    </row>
    <row r="59" spans="1:19" s="4" customFormat="1" ht="15.75" thickBo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9" s="4" customFormat="1" ht="24.75" thickBot="1" x14ac:dyDescent="0.3">
      <c r="A60"/>
      <c r="B60"/>
      <c r="C60" s="95" t="s">
        <v>50</v>
      </c>
      <c r="D60" s="96">
        <f>D75+D91+D107</f>
        <v>0</v>
      </c>
      <c r="E60" s="97">
        <f>E75+E91+E107</f>
        <v>1713</v>
      </c>
      <c r="F60" s="97">
        <f>F75+F91+F107</f>
        <v>0</v>
      </c>
      <c r="G60" s="97">
        <f>G75+G91+G109</f>
        <v>0</v>
      </c>
      <c r="H60" s="97">
        <f t="shared" ref="H60:P60" si="6">H75+H92+H109</f>
        <v>0</v>
      </c>
      <c r="I60" s="97">
        <f>I75+I91+I107</f>
        <v>36</v>
      </c>
      <c r="J60" s="97">
        <f>J75+J98+J109</f>
        <v>15</v>
      </c>
      <c r="K60" s="97">
        <f t="shared" si="6"/>
        <v>0</v>
      </c>
      <c r="L60" s="97">
        <f t="shared" si="6"/>
        <v>954</v>
      </c>
      <c r="M60" s="98">
        <f>M75+M91+M107</f>
        <v>0</v>
      </c>
      <c r="N60" s="97">
        <f t="shared" si="6"/>
        <v>220</v>
      </c>
      <c r="O60" s="97">
        <f t="shared" si="6"/>
        <v>0</v>
      </c>
      <c r="P60" s="97">
        <f t="shared" si="6"/>
        <v>0</v>
      </c>
      <c r="Q60" s="99">
        <f>Q75+Q91+Q107</f>
        <v>44</v>
      </c>
      <c r="R60" s="45">
        <f>SUM(E60:G60)</f>
        <v>1713</v>
      </c>
      <c r="S60" s="100">
        <f>R76+R92+R108</f>
        <v>49108</v>
      </c>
    </row>
    <row r="62" spans="1:19" s="4" customFormat="1" ht="15.75" thickBot="1" x14ac:dyDescent="0.3">
      <c r="A62" s="1" t="s">
        <v>51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</row>
    <row r="63" spans="1:19" s="4" customFormat="1" ht="15.75" thickBot="1" x14ac:dyDescent="0.3">
      <c r="A63" s="5" t="s">
        <v>1</v>
      </c>
      <c r="B63" s="5" t="s">
        <v>2</v>
      </c>
      <c r="C63" s="6" t="s">
        <v>3</v>
      </c>
      <c r="D63" s="46" t="s">
        <v>36</v>
      </c>
      <c r="E63" s="8" t="s">
        <v>52</v>
      </c>
      <c r="F63" s="8" t="s">
        <v>37</v>
      </c>
      <c r="G63" s="8" t="s">
        <v>53</v>
      </c>
      <c r="H63" s="8" t="s">
        <v>54</v>
      </c>
      <c r="I63" s="8" t="s">
        <v>55</v>
      </c>
      <c r="J63" s="10" t="s">
        <v>56</v>
      </c>
      <c r="K63" s="10" t="s">
        <v>39</v>
      </c>
      <c r="L63" s="10" t="s">
        <v>57</v>
      </c>
      <c r="M63" s="10" t="s">
        <v>13</v>
      </c>
      <c r="N63" s="11" t="s">
        <v>14</v>
      </c>
      <c r="O63" s="11" t="s">
        <v>15</v>
      </c>
      <c r="P63" s="11" t="s">
        <v>58</v>
      </c>
      <c r="Q63" s="11" t="s">
        <v>59</v>
      </c>
      <c r="R63" s="12" t="s">
        <v>17</v>
      </c>
    </row>
    <row r="64" spans="1:19" s="4" customFormat="1" ht="15.75" thickBot="1" x14ac:dyDescent="0.3">
      <c r="A64" s="13"/>
      <c r="B64" s="13"/>
      <c r="C64" s="70"/>
      <c r="D64" s="15">
        <v>24</v>
      </c>
      <c r="E64" s="16">
        <v>26.5</v>
      </c>
      <c r="F64" s="101">
        <v>24</v>
      </c>
      <c r="G64" s="16">
        <v>26.5</v>
      </c>
      <c r="H64" s="71">
        <v>24</v>
      </c>
      <c r="I64" s="71">
        <v>26.5</v>
      </c>
      <c r="J64" s="71">
        <v>20.5</v>
      </c>
      <c r="K64" s="71">
        <v>19</v>
      </c>
      <c r="L64" s="71">
        <v>26.5</v>
      </c>
      <c r="M64" s="71">
        <v>22</v>
      </c>
      <c r="N64" s="71">
        <v>0</v>
      </c>
      <c r="O64" s="102">
        <v>0</v>
      </c>
      <c r="P64" s="102">
        <v>24.5</v>
      </c>
      <c r="Q64" s="72">
        <v>27</v>
      </c>
      <c r="R64" s="20"/>
    </row>
    <row r="65" spans="1:18" s="4" customFormat="1" ht="15.75" thickBot="1" x14ac:dyDescent="0.3">
      <c r="A65" s="21">
        <v>46265</v>
      </c>
      <c r="B65" s="74">
        <v>14744</v>
      </c>
      <c r="C65" s="103"/>
      <c r="D65" s="56"/>
      <c r="E65" s="53">
        <v>116</v>
      </c>
      <c r="F65" s="56"/>
      <c r="G65" s="77"/>
      <c r="H65" s="77"/>
      <c r="I65" s="56"/>
      <c r="J65" s="77"/>
      <c r="K65" s="77"/>
      <c r="L65" s="56"/>
      <c r="M65" s="104"/>
      <c r="N65" s="56"/>
      <c r="O65" s="56"/>
      <c r="P65" s="56"/>
      <c r="Q65" s="56"/>
      <c r="R65" s="59">
        <f>D64*D65+E64*E65+F64*F65+G64*G65+J64*J65+L64*L65+K64*K65+M64*M65+N64*N65+O64*O65+P64*P65+Q64*Q65+I64*I65</f>
        <v>3074</v>
      </c>
    </row>
    <row r="66" spans="1:18" s="4" customFormat="1" ht="15.75" thickBot="1" x14ac:dyDescent="0.3">
      <c r="A66" s="21">
        <v>46266</v>
      </c>
      <c r="B66" s="22">
        <v>7606</v>
      </c>
      <c r="C66" s="105"/>
      <c r="D66" s="52"/>
      <c r="E66" s="53">
        <v>129</v>
      </c>
      <c r="F66" s="52"/>
      <c r="G66" s="53"/>
      <c r="H66" s="76"/>
      <c r="I66" s="106">
        <v>36</v>
      </c>
      <c r="J66" s="57"/>
      <c r="K66" s="57"/>
      <c r="L66" s="52"/>
      <c r="M66" s="107"/>
      <c r="N66" s="52"/>
      <c r="O66" s="52"/>
      <c r="P66" s="52"/>
      <c r="Q66" s="52"/>
      <c r="R66" s="59">
        <f>D64*D66+E64*E66+F64*F66+G64*G66+J65*J66+L64*L66+K65*K66+M64*M66+N65*N66+O65*O66+P65*P66+Q64*Q66+I64*I66</f>
        <v>4372.5</v>
      </c>
    </row>
    <row r="67" spans="1:18" s="4" customFormat="1" ht="15.75" thickBot="1" x14ac:dyDescent="0.3">
      <c r="A67" s="27">
        <v>46083</v>
      </c>
      <c r="B67" s="22">
        <v>7630</v>
      </c>
      <c r="C67" s="105"/>
      <c r="D67" s="56"/>
      <c r="E67" s="53">
        <v>30</v>
      </c>
      <c r="F67" s="56"/>
      <c r="G67" s="56"/>
      <c r="H67" s="56"/>
      <c r="I67" s="56"/>
      <c r="J67" s="57"/>
      <c r="K67" s="57"/>
      <c r="L67" s="52"/>
      <c r="M67" s="52"/>
      <c r="N67" s="52"/>
      <c r="O67" s="52"/>
      <c r="P67" s="52"/>
      <c r="Q67" s="52"/>
      <c r="R67" s="59">
        <f>D64*D67+E64*E67+F66*F67+G66*G67+J66*J67+L66*L67+K66*K67+M64*M67+N66*N67+O66*O67+P66*P67+Q64*Q67+I64*I67</f>
        <v>795</v>
      </c>
    </row>
    <row r="68" spans="1:18" s="4" customFormat="1" ht="15.75" thickBot="1" x14ac:dyDescent="0.3">
      <c r="A68" s="21">
        <v>46268</v>
      </c>
      <c r="B68" s="22">
        <v>7641</v>
      </c>
      <c r="C68" s="23"/>
      <c r="D68" s="52"/>
      <c r="E68" s="53">
        <v>63</v>
      </c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61"/>
      <c r="R68" s="79">
        <f>D64*D68+E64*E68+F64*F68+G64*G68+J64*J68+K68*K64+L64*L68+M64*M68+N64*N68+O64*O68+P64*P68+Q64*Q68+I64*I68+H64*H68</f>
        <v>1669.5</v>
      </c>
    </row>
    <row r="69" spans="1:18" s="4" customFormat="1" ht="15.75" thickBot="1" x14ac:dyDescent="0.3">
      <c r="A69" s="21">
        <v>46269</v>
      </c>
      <c r="B69" s="108">
        <v>7559</v>
      </c>
      <c r="C69" s="23"/>
      <c r="D69" s="52"/>
      <c r="E69" s="53">
        <v>129</v>
      </c>
      <c r="F69" s="52"/>
      <c r="G69" s="52"/>
      <c r="H69"/>
      <c r="I69" s="52"/>
      <c r="J69" s="52"/>
      <c r="K69" s="52"/>
      <c r="L69" s="52"/>
      <c r="M69" s="52"/>
      <c r="N69" s="52"/>
      <c r="O69" s="52"/>
      <c r="P69" s="52"/>
      <c r="Q69" s="109"/>
      <c r="R69" s="65">
        <f>D64*D69+E64*E69+F64*F69+G64*G69+J64*J69+K64*K69+L64*L69+M64*M69+N64*N69+O64*O69+P64*P69+Q64*Q69+I64*I69+H64*I71</f>
        <v>3418.5</v>
      </c>
    </row>
    <row r="70" spans="1:18" s="4" customFormat="1" ht="15.75" thickBot="1" x14ac:dyDescent="0.3">
      <c r="A70" s="27">
        <v>46270</v>
      </c>
      <c r="B70" s="108">
        <v>7571</v>
      </c>
      <c r="C70" s="23"/>
      <c r="D70" s="52"/>
      <c r="E70" s="53">
        <v>73</v>
      </c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109"/>
      <c r="R70" s="65">
        <f>D64*D70+E64*E70+F65*F70+G65*G70+J65*J70+K65*K70+L65*L70+M65*M70+N65*N70+O65*O70+P65*P70+Q64*Q70+I64*I70+H65*I72</f>
        <v>1934.5</v>
      </c>
    </row>
    <row r="71" spans="1:18" s="4" customFormat="1" ht="15.75" thickBot="1" x14ac:dyDescent="0.3">
      <c r="A71" s="27">
        <v>46270</v>
      </c>
      <c r="B71" s="22">
        <v>7572</v>
      </c>
      <c r="C71" s="23" t="s">
        <v>60</v>
      </c>
      <c r="D71" s="52"/>
      <c r="E71" s="52">
        <v>18</v>
      </c>
      <c r="F71" s="52"/>
      <c r="G71" s="52"/>
      <c r="H71" s="52"/>
      <c r="I71" s="52"/>
      <c r="J71" s="52"/>
      <c r="K71" s="52"/>
      <c r="L71" s="110"/>
      <c r="M71" s="52"/>
      <c r="N71" s="52"/>
      <c r="O71" s="52"/>
      <c r="P71" s="52"/>
      <c r="Q71" s="61"/>
      <c r="R71" s="65">
        <f>D65*D71+E64*E71+F66*F71+G66*G71+J66*J71+K66*K71+L66*L71+M66*M71+N66*N71+O66*O71+P66*P71+Q65*Q71+I65*I71+H66*I73</f>
        <v>477</v>
      </c>
    </row>
    <row r="72" spans="1:18" s="4" customFormat="1" ht="15.75" thickBot="1" x14ac:dyDescent="0.3">
      <c r="A72" s="27"/>
      <c r="B72" s="22"/>
      <c r="C72" s="23"/>
      <c r="D72" s="52"/>
      <c r="E72" s="66"/>
      <c r="F72" s="52"/>
      <c r="G72" s="66"/>
      <c r="H72" s="66"/>
      <c r="I72" s="66"/>
      <c r="J72" s="66"/>
      <c r="K72" s="66"/>
      <c r="L72" s="52"/>
      <c r="M72" s="52"/>
      <c r="N72" s="52"/>
      <c r="O72" s="52"/>
      <c r="P72" s="52"/>
      <c r="Q72" s="52"/>
      <c r="R72" s="65">
        <f>D64*D72+E64*E72+F64*F72+G64*G72+J64*J72+K64*K72+L64*L72+M64*M72+N64*N72+O64*O72+P64*P72+Q64*Q72+I64*I72</f>
        <v>0</v>
      </c>
    </row>
    <row r="73" spans="1:18" s="4" customFormat="1" ht="15.75" thickBot="1" x14ac:dyDescent="0.3">
      <c r="A73" s="27"/>
      <c r="B73" s="111"/>
      <c r="C73" s="23"/>
      <c r="D73" s="53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65">
        <f>D64*D73+E64*E73+F64*F73+G64*G73+J64*J73+K64*K73+L64*L73+M64*M73+N64*N73+O64*O73+P64*P73+Q64*Q73</f>
        <v>0</v>
      </c>
    </row>
    <row r="74" spans="1:18" s="4" customFormat="1" ht="15.75" thickBot="1" x14ac:dyDescent="0.3">
      <c r="A74" s="88" t="s">
        <v>31</v>
      </c>
      <c r="B74" s="89"/>
      <c r="C74" s="34"/>
      <c r="D74" s="35"/>
      <c r="E74" s="35"/>
      <c r="F74" s="35"/>
      <c r="G74" s="35"/>
      <c r="H74" s="35"/>
      <c r="I74" s="35"/>
      <c r="J74" s="35"/>
      <c r="K74" s="35"/>
      <c r="L74" s="37"/>
      <c r="M74" s="37"/>
      <c r="N74" s="37"/>
      <c r="O74" s="38" t="s">
        <v>32</v>
      </c>
      <c r="P74" s="39"/>
      <c r="Q74" s="39"/>
      <c r="R74" s="67">
        <f>SUM(R65:R73)</f>
        <v>15741</v>
      </c>
    </row>
    <row r="75" spans="1:18" s="4" customFormat="1" ht="15.75" thickBot="1" x14ac:dyDescent="0.3">
      <c r="A75" s="93" t="s">
        <v>33</v>
      </c>
      <c r="B75" s="93"/>
      <c r="C75" s="93"/>
      <c r="D75" s="112">
        <f t="shared" ref="D75:Q75" si="7">SUM(D65:D73)</f>
        <v>0</v>
      </c>
      <c r="E75" s="112">
        <f t="shared" si="7"/>
        <v>558</v>
      </c>
      <c r="F75" s="112">
        <f t="shared" si="7"/>
        <v>0</v>
      </c>
      <c r="G75" s="112">
        <f t="shared" si="7"/>
        <v>0</v>
      </c>
      <c r="H75" s="112">
        <f t="shared" si="7"/>
        <v>0</v>
      </c>
      <c r="I75" s="112">
        <f t="shared" si="7"/>
        <v>36</v>
      </c>
      <c r="J75" s="112">
        <f t="shared" si="7"/>
        <v>0</v>
      </c>
      <c r="K75" s="112">
        <f t="shared" si="7"/>
        <v>0</v>
      </c>
      <c r="L75" s="113">
        <f t="shared" si="7"/>
        <v>0</v>
      </c>
      <c r="M75" s="113">
        <f t="shared" si="7"/>
        <v>0</v>
      </c>
      <c r="N75" s="113">
        <f t="shared" si="7"/>
        <v>0</v>
      </c>
      <c r="O75" s="113">
        <f t="shared" si="7"/>
        <v>0</v>
      </c>
      <c r="P75" s="113">
        <f t="shared" si="7"/>
        <v>0</v>
      </c>
      <c r="Q75" s="112">
        <f t="shared" si="7"/>
        <v>0</v>
      </c>
      <c r="R75" s="114">
        <f>SUM(D75:E75:F75:G75:J75:K75:L75:M75:N75:O75:P75:Q75)</f>
        <v>594</v>
      </c>
    </row>
    <row r="76" spans="1:18" s="4" customFormat="1" ht="15.75" thickBot="1" x14ac:dyDescent="0.3">
      <c r="A76" s="94" t="s">
        <v>34</v>
      </c>
      <c r="B76" s="94"/>
      <c r="C76" s="94"/>
      <c r="D76" s="115">
        <f t="shared" ref="D76:Q76" si="8">D64*D75</f>
        <v>0</v>
      </c>
      <c r="E76" s="115">
        <f t="shared" si="8"/>
        <v>14787</v>
      </c>
      <c r="F76" s="115">
        <f t="shared" si="8"/>
        <v>0</v>
      </c>
      <c r="G76" s="115">
        <f t="shared" si="8"/>
        <v>0</v>
      </c>
      <c r="H76" s="115">
        <f t="shared" si="8"/>
        <v>0</v>
      </c>
      <c r="I76" s="115">
        <f t="shared" si="8"/>
        <v>954</v>
      </c>
      <c r="J76" s="115">
        <f t="shared" si="8"/>
        <v>0</v>
      </c>
      <c r="K76" s="115">
        <f t="shared" si="8"/>
        <v>0</v>
      </c>
      <c r="L76" s="115">
        <f t="shared" si="8"/>
        <v>0</v>
      </c>
      <c r="M76" s="115">
        <f t="shared" si="8"/>
        <v>0</v>
      </c>
      <c r="N76" s="115">
        <f t="shared" si="8"/>
        <v>0</v>
      </c>
      <c r="O76" s="115">
        <f t="shared" si="8"/>
        <v>0</v>
      </c>
      <c r="P76" s="115">
        <f t="shared" si="8"/>
        <v>0</v>
      </c>
      <c r="Q76" s="115">
        <f t="shared" si="8"/>
        <v>0</v>
      </c>
      <c r="R76" s="116">
        <f>SUM(D76:Q76)</f>
        <v>15741</v>
      </c>
    </row>
    <row r="78" spans="1:18" s="4" customFormat="1" ht="15.75" thickBot="1" x14ac:dyDescent="0.3">
      <c r="A78" s="1" t="s">
        <v>61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</row>
    <row r="79" spans="1:18" s="4" customFormat="1" ht="15.75" thickBot="1" x14ac:dyDescent="0.3">
      <c r="A79" s="5" t="s">
        <v>1</v>
      </c>
      <c r="B79" s="5" t="s">
        <v>2</v>
      </c>
      <c r="C79" s="6" t="s">
        <v>3</v>
      </c>
      <c r="D79" s="46" t="s">
        <v>36</v>
      </c>
      <c r="E79" s="8" t="s">
        <v>62</v>
      </c>
      <c r="F79" s="8" t="s">
        <v>37</v>
      </c>
      <c r="G79" s="8" t="s">
        <v>63</v>
      </c>
      <c r="H79" s="8" t="s">
        <v>54</v>
      </c>
      <c r="I79" s="8" t="s">
        <v>55</v>
      </c>
      <c r="J79" s="10" t="s">
        <v>56</v>
      </c>
      <c r="K79" s="10" t="s">
        <v>39</v>
      </c>
      <c r="L79" s="10" t="s">
        <v>57</v>
      </c>
      <c r="M79" s="10" t="s">
        <v>13</v>
      </c>
      <c r="N79" s="11" t="s">
        <v>13</v>
      </c>
      <c r="O79" s="11" t="s">
        <v>15</v>
      </c>
      <c r="P79" s="11" t="s">
        <v>58</v>
      </c>
      <c r="Q79" s="11" t="s">
        <v>38</v>
      </c>
      <c r="R79" s="12" t="s">
        <v>17</v>
      </c>
    </row>
    <row r="80" spans="1:18" s="4" customFormat="1" ht="15.75" thickBot="1" x14ac:dyDescent="0.3">
      <c r="A80" s="13"/>
      <c r="B80" s="13"/>
      <c r="C80" s="47"/>
      <c r="D80" s="15">
        <v>24</v>
      </c>
      <c r="E80" s="16">
        <v>26.5</v>
      </c>
      <c r="F80" s="71">
        <v>24</v>
      </c>
      <c r="G80" s="16">
        <v>26.5</v>
      </c>
      <c r="H80" s="71">
        <v>24</v>
      </c>
      <c r="I80" s="71">
        <v>24</v>
      </c>
      <c r="J80" s="71">
        <v>20.5</v>
      </c>
      <c r="K80" s="71">
        <v>19</v>
      </c>
      <c r="L80" s="16">
        <v>26.5</v>
      </c>
      <c r="M80" s="71">
        <v>19.5</v>
      </c>
      <c r="N80" s="16">
        <v>22</v>
      </c>
      <c r="O80" s="102">
        <v>0</v>
      </c>
      <c r="P80" s="102">
        <v>24.5</v>
      </c>
      <c r="Q80" s="19">
        <v>27</v>
      </c>
      <c r="R80" s="20"/>
    </row>
    <row r="81" spans="1:18" s="4" customFormat="1" ht="15.75" thickBot="1" x14ac:dyDescent="0.3">
      <c r="A81" s="21">
        <v>46265</v>
      </c>
      <c r="B81" s="117">
        <v>14749</v>
      </c>
      <c r="C81" s="23"/>
      <c r="D81" s="52"/>
      <c r="E81" s="53">
        <v>60</v>
      </c>
      <c r="F81" s="52"/>
      <c r="G81" s="52"/>
      <c r="H81" s="52"/>
      <c r="I81" s="52"/>
      <c r="J81" s="57"/>
      <c r="K81" s="57"/>
      <c r="L81" s="52"/>
      <c r="M81" s="52"/>
      <c r="N81" s="52"/>
      <c r="O81" s="52"/>
      <c r="P81" s="52"/>
      <c r="Q81" s="52"/>
      <c r="R81" s="59">
        <f>D80*D81+E80*E81+F80*F81+G80*G81+J80*J81+L80*L81+K80*K81+M80*M81+N80*N81+O80*O81+P80*P81+Q80*Q81+I80*I81</f>
        <v>1590</v>
      </c>
    </row>
    <row r="82" spans="1:18" s="4" customFormat="1" ht="15.75" thickBot="1" x14ac:dyDescent="0.3">
      <c r="A82" s="21">
        <v>46266</v>
      </c>
      <c r="B82" s="22">
        <v>7613</v>
      </c>
      <c r="C82" s="23"/>
      <c r="D82" s="52"/>
      <c r="E82" s="53">
        <v>105</v>
      </c>
      <c r="F82" s="52"/>
      <c r="G82" s="52"/>
      <c r="H82" s="52"/>
      <c r="I82" s="52"/>
      <c r="J82" s="57"/>
      <c r="K82" s="57"/>
      <c r="L82" s="53"/>
      <c r="M82" s="52"/>
      <c r="N82" s="52"/>
      <c r="O82" s="52"/>
      <c r="P82" s="52"/>
      <c r="Q82" s="52">
        <v>28</v>
      </c>
      <c r="R82" s="65">
        <f>D80*D82+E80*E82+F80*F82+G80*G82+J80*J82+K80*K82+L80*L82+M80*M82+N80*N82+O80*O82+P80*P82+Q80*Q82+I80*I82</f>
        <v>3538.5</v>
      </c>
    </row>
    <row r="83" spans="1:18" s="4" customFormat="1" ht="15.75" thickBot="1" x14ac:dyDescent="0.3">
      <c r="A83" s="27">
        <v>46267</v>
      </c>
      <c r="B83" s="22">
        <v>7635</v>
      </c>
      <c r="C83" s="23"/>
      <c r="D83" s="52"/>
      <c r="E83" s="53">
        <v>86</v>
      </c>
      <c r="F83" s="52"/>
      <c r="G83" s="53"/>
      <c r="H83" s="52"/>
      <c r="I83" s="52"/>
      <c r="J83" s="52"/>
      <c r="K83" s="52"/>
      <c r="L83" s="52">
        <v>18</v>
      </c>
      <c r="M83" s="52"/>
      <c r="N83" s="52">
        <v>10</v>
      </c>
      <c r="O83" s="52"/>
      <c r="P83" s="52"/>
      <c r="Q83" s="61"/>
      <c r="R83" s="79">
        <f>D80*D83+E80*E83+F80*F83+G80*G83+J80*J83+K80*K83+L80*L83+M80*M83+N80*N83+O80*O83+P80*P83+Q80*Q83+I80*I83+H80*H83</f>
        <v>2976</v>
      </c>
    </row>
    <row r="84" spans="1:18" s="4" customFormat="1" ht="15.75" thickBot="1" x14ac:dyDescent="0.3">
      <c r="A84" s="21">
        <v>46268</v>
      </c>
      <c r="B84" s="22">
        <v>7646</v>
      </c>
      <c r="C84" s="23"/>
      <c r="D84" s="52"/>
      <c r="E84" s="53">
        <v>93</v>
      </c>
      <c r="F84" s="52"/>
      <c r="G84" s="52"/>
      <c r="H84" s="52"/>
      <c r="I84" s="52"/>
      <c r="J84" s="52"/>
      <c r="K84" s="52"/>
      <c r="L84" s="52"/>
      <c r="M84" s="52"/>
      <c r="N84" s="53"/>
      <c r="O84" s="52"/>
      <c r="P84" s="52"/>
      <c r="Q84" s="61"/>
      <c r="R84" s="65">
        <f>D80*D84+E80*E84+F80*F84+G80*G84+J80*J84+K84*K80+L80*L84+M80*M84+N80*N84+O80*O84+P80*P84+Q80*Q84+I80*I84+H80*H84</f>
        <v>2464.5</v>
      </c>
    </row>
    <row r="85" spans="1:18" s="4" customFormat="1" ht="15.75" thickBot="1" x14ac:dyDescent="0.3">
      <c r="A85" s="21">
        <v>46269</v>
      </c>
      <c r="B85" s="108">
        <v>7564</v>
      </c>
      <c r="C85" s="23"/>
      <c r="D85" s="52"/>
      <c r="E85" s="53">
        <v>170</v>
      </c>
      <c r="F85" s="53"/>
      <c r="G85" s="53"/>
      <c r="H85" s="53"/>
      <c r="I85" s="53"/>
      <c r="J85" s="53"/>
      <c r="K85" s="53"/>
      <c r="L85" s="53">
        <v>18</v>
      </c>
      <c r="M85" s="53"/>
      <c r="N85" s="53"/>
      <c r="O85" s="53"/>
      <c r="P85" s="53"/>
      <c r="Q85" s="109"/>
      <c r="R85" s="65">
        <f>D80*D85+E80*E85+F80*F85+G80*G85+J80*J85+K80*K85+L80*L85+M80*M85+N80*N85+O80*O85+P80*P85+Q80*Q85+I80*I85+H60*H85</f>
        <v>4982</v>
      </c>
    </row>
    <row r="86" spans="1:18" s="4" customFormat="1" ht="15.75" thickBot="1" x14ac:dyDescent="0.3">
      <c r="A86" s="27">
        <v>46270</v>
      </c>
      <c r="B86" s="108">
        <v>7577</v>
      </c>
      <c r="C86" s="23"/>
      <c r="D86" s="52"/>
      <c r="E86" s="53">
        <v>138</v>
      </c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61"/>
      <c r="R86" s="65">
        <f>D80*D86+E80*E86+F80*F86+G80*G86+J80*J86+K80*K86+L80*L86+M80*M86+N80*N86+O80*O86+P80*P86+Q80*Q86+I80*I86</f>
        <v>3657</v>
      </c>
    </row>
    <row r="87" spans="1:18" s="4" customFormat="1" ht="15.75" thickBot="1" x14ac:dyDescent="0.3">
      <c r="A87" s="27"/>
      <c r="B87" s="22"/>
      <c r="C87" s="2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61"/>
      <c r="R87" s="65">
        <f>D80*D87+E81*E87+F81*F87+G81*G87+J81*J87+K81*K87+L81*L87+M81*M87+N81*N87+O81*O87+P81*P87+Q81*Q87+I81*I87</f>
        <v>0</v>
      </c>
    </row>
    <row r="88" spans="1:18" s="4" customFormat="1" ht="15.75" thickBot="1" x14ac:dyDescent="0.3">
      <c r="A88" s="27"/>
      <c r="B88" s="22"/>
      <c r="C88" s="2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65">
        <f>D82*D88+E82*E88+F82*F88+G82*G88+J82*J88+K82*K88+L82*L88+M82*M88+N82*N88+O82*O88+P82*P88+Q82*Q88+I82*I88</f>
        <v>0</v>
      </c>
    </row>
    <row r="89" spans="1:18" s="4" customFormat="1" ht="15.75" thickBot="1" x14ac:dyDescent="0.3">
      <c r="A89" s="27"/>
      <c r="B89" s="22"/>
      <c r="C89" s="23"/>
      <c r="D89" s="53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65">
        <f>D83*D89+E83*E89+F83*F89+G83*G89+J83*J89+K83*K89+L83*L89+M83*M89+N83*N89+O83*O89+P83*P89+Q83*Q89+I83*I89</f>
        <v>0</v>
      </c>
    </row>
    <row r="90" spans="1:18" s="4" customFormat="1" ht="15.75" thickBot="1" x14ac:dyDescent="0.3">
      <c r="A90" s="34"/>
      <c r="B90" s="118"/>
      <c r="C90" s="34"/>
      <c r="D90" s="35"/>
      <c r="E90" s="35"/>
      <c r="F90" s="35"/>
      <c r="G90" s="35"/>
      <c r="H90" s="35"/>
      <c r="I90" s="35"/>
      <c r="J90" s="35"/>
      <c r="K90" s="35"/>
      <c r="L90" s="37"/>
      <c r="M90" s="37"/>
      <c r="N90" s="37"/>
      <c r="O90" s="38" t="s">
        <v>32</v>
      </c>
      <c r="P90" s="39"/>
      <c r="Q90" s="39"/>
      <c r="R90" s="67">
        <f>SUM(R81:R89)</f>
        <v>19208</v>
      </c>
    </row>
    <row r="91" spans="1:18" s="4" customFormat="1" ht="15.75" thickBot="1" x14ac:dyDescent="0.3">
      <c r="A91" s="40" t="s">
        <v>33</v>
      </c>
      <c r="B91" s="40"/>
      <c r="C91" s="40"/>
      <c r="D91" s="119">
        <f t="shared" ref="D91:Q91" si="9">SUM(D81:D89)</f>
        <v>0</v>
      </c>
      <c r="E91" s="119">
        <f t="shared" si="9"/>
        <v>652</v>
      </c>
      <c r="F91" s="119">
        <f t="shared" si="9"/>
        <v>0</v>
      </c>
      <c r="G91" s="119">
        <f t="shared" si="9"/>
        <v>0</v>
      </c>
      <c r="H91" s="119">
        <f t="shared" si="9"/>
        <v>0</v>
      </c>
      <c r="I91" s="119">
        <f t="shared" si="9"/>
        <v>0</v>
      </c>
      <c r="J91" s="119">
        <f t="shared" si="9"/>
        <v>0</v>
      </c>
      <c r="K91" s="119">
        <f t="shared" si="9"/>
        <v>0</v>
      </c>
      <c r="L91" s="119">
        <f t="shared" si="9"/>
        <v>36</v>
      </c>
      <c r="M91" s="119">
        <f t="shared" si="9"/>
        <v>0</v>
      </c>
      <c r="N91" s="119">
        <f t="shared" si="9"/>
        <v>10</v>
      </c>
      <c r="O91" s="119">
        <f t="shared" si="9"/>
        <v>0</v>
      </c>
      <c r="P91" s="119">
        <f t="shared" si="9"/>
        <v>0</v>
      </c>
      <c r="Q91" s="119">
        <f t="shared" si="9"/>
        <v>28</v>
      </c>
      <c r="R91" s="69">
        <f>SUM(D91:E91:F91:G91:J91:K91:L91:M91:N91:O91:P91:Q91)</f>
        <v>726</v>
      </c>
    </row>
    <row r="92" spans="1:18" s="4" customFormat="1" ht="15.75" thickBot="1" x14ac:dyDescent="0.3">
      <c r="A92" s="43" t="s">
        <v>34</v>
      </c>
      <c r="B92" s="43"/>
      <c r="C92" s="43"/>
      <c r="D92" s="120">
        <f t="shared" ref="D92:Q92" si="10">D80*D91</f>
        <v>0</v>
      </c>
      <c r="E92" s="120">
        <f t="shared" si="10"/>
        <v>17278</v>
      </c>
      <c r="F92" s="120">
        <f t="shared" si="10"/>
        <v>0</v>
      </c>
      <c r="G92" s="120">
        <f t="shared" si="10"/>
        <v>0</v>
      </c>
      <c r="H92" s="120">
        <f t="shared" si="10"/>
        <v>0</v>
      </c>
      <c r="I92" s="120">
        <f t="shared" si="10"/>
        <v>0</v>
      </c>
      <c r="J92" s="120">
        <f t="shared" si="10"/>
        <v>0</v>
      </c>
      <c r="K92" s="120">
        <f t="shared" si="10"/>
        <v>0</v>
      </c>
      <c r="L92" s="120">
        <f t="shared" si="10"/>
        <v>954</v>
      </c>
      <c r="M92" s="120">
        <f t="shared" si="10"/>
        <v>0</v>
      </c>
      <c r="N92" s="120">
        <f t="shared" si="10"/>
        <v>220</v>
      </c>
      <c r="O92" s="120">
        <f t="shared" si="10"/>
        <v>0</v>
      </c>
      <c r="P92" s="120">
        <f t="shared" si="10"/>
        <v>0</v>
      </c>
      <c r="Q92" s="120">
        <f t="shared" si="10"/>
        <v>756</v>
      </c>
      <c r="R92" s="45">
        <f>SUM(D92:Q92)</f>
        <v>19208</v>
      </c>
    </row>
    <row r="94" spans="1:18" s="4" customFormat="1" ht="15.75" thickBot="1" x14ac:dyDescent="0.3">
      <c r="A94" s="1" t="s">
        <v>64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</row>
    <row r="95" spans="1:18" s="4" customFormat="1" ht="15.75" thickBot="1" x14ac:dyDescent="0.3">
      <c r="A95" s="5" t="s">
        <v>1</v>
      </c>
      <c r="B95" s="5" t="s">
        <v>2</v>
      </c>
      <c r="C95" s="6" t="s">
        <v>3</v>
      </c>
      <c r="D95" s="46" t="s">
        <v>36</v>
      </c>
      <c r="E95" s="8" t="s">
        <v>65</v>
      </c>
      <c r="F95" s="8" t="s">
        <v>37</v>
      </c>
      <c r="G95" s="8" t="s">
        <v>53</v>
      </c>
      <c r="H95" s="8" t="s">
        <v>66</v>
      </c>
      <c r="I95" s="8" t="s">
        <v>55</v>
      </c>
      <c r="J95" s="10" t="s">
        <v>67</v>
      </c>
      <c r="K95" s="10" t="s">
        <v>39</v>
      </c>
      <c r="L95" s="10" t="s">
        <v>57</v>
      </c>
      <c r="M95" s="10" t="s">
        <v>13</v>
      </c>
      <c r="N95" s="11" t="s">
        <v>14</v>
      </c>
      <c r="O95" s="11" t="s">
        <v>15</v>
      </c>
      <c r="P95" s="11" t="s">
        <v>58</v>
      </c>
      <c r="Q95" s="11" t="s">
        <v>38</v>
      </c>
      <c r="R95" s="12" t="s">
        <v>17</v>
      </c>
    </row>
    <row r="96" spans="1:18" s="4" customFormat="1" ht="15.75" thickBot="1" x14ac:dyDescent="0.3">
      <c r="A96" s="13"/>
      <c r="B96" s="13"/>
      <c r="C96" s="47"/>
      <c r="D96" s="15">
        <v>24</v>
      </c>
      <c r="E96" s="16">
        <v>26.5</v>
      </c>
      <c r="F96" s="71">
        <v>24</v>
      </c>
      <c r="G96" s="16">
        <v>26.5</v>
      </c>
      <c r="H96" s="71">
        <v>24</v>
      </c>
      <c r="I96" s="71">
        <v>24</v>
      </c>
      <c r="J96" s="16">
        <v>26.5</v>
      </c>
      <c r="K96" s="71">
        <v>19</v>
      </c>
      <c r="L96" s="71">
        <v>26.5</v>
      </c>
      <c r="M96" s="18">
        <v>22</v>
      </c>
      <c r="N96" s="18">
        <v>0</v>
      </c>
      <c r="O96" s="19">
        <v>0</v>
      </c>
      <c r="P96" s="19">
        <v>24.5</v>
      </c>
      <c r="Q96" s="19">
        <v>27</v>
      </c>
      <c r="R96" s="20"/>
    </row>
    <row r="97" spans="1:18" s="4" customFormat="1" ht="15.75" thickBot="1" x14ac:dyDescent="0.3">
      <c r="A97" s="21">
        <v>46265</v>
      </c>
      <c r="B97" s="117">
        <v>14741</v>
      </c>
      <c r="C97" s="80"/>
      <c r="D97" s="52"/>
      <c r="E97" s="110">
        <v>74</v>
      </c>
      <c r="F97" s="56"/>
      <c r="G97" s="56"/>
      <c r="H97" s="56"/>
      <c r="I97" s="56"/>
      <c r="J97" s="57"/>
      <c r="K97" s="57"/>
      <c r="L97" s="52"/>
      <c r="M97" s="52"/>
      <c r="N97" s="52"/>
      <c r="O97" s="52"/>
      <c r="P97" s="52"/>
      <c r="Q97" s="52">
        <v>16</v>
      </c>
      <c r="R97" s="59">
        <f>D96*D97+E96*E97+F96*F97+G96*G97+J96*J97+L96*L97+K96*K97+M96*M97+N96*N97+O96*O97+P96*P97+Q96*Q97+I96*I97</f>
        <v>2393</v>
      </c>
    </row>
    <row r="98" spans="1:18" s="4" customFormat="1" ht="15.75" thickBot="1" x14ac:dyDescent="0.3">
      <c r="A98" s="27">
        <v>46267</v>
      </c>
      <c r="B98" s="22">
        <v>7629</v>
      </c>
      <c r="C98" s="23"/>
      <c r="D98" s="52"/>
      <c r="E98" s="53">
        <v>74</v>
      </c>
      <c r="F98" s="52"/>
      <c r="G98" s="52"/>
      <c r="H98" s="52"/>
      <c r="I98" s="52"/>
      <c r="J98" s="53">
        <v>15</v>
      </c>
      <c r="K98" s="57"/>
      <c r="L98" s="52"/>
      <c r="M98" s="52"/>
      <c r="N98" s="52"/>
      <c r="O98" s="52"/>
      <c r="P98" s="52"/>
      <c r="Q98" s="52"/>
      <c r="R98" s="59">
        <f>D96*D98+E96*E98+F96*F98+G96*G98+J96*J98+L96*L98+K96*K98+M96*M98+N96*N98+O96*O98+P96*P98+Q96*Q98+I96*I98+H96*H98</f>
        <v>2358.5</v>
      </c>
    </row>
    <row r="99" spans="1:18" s="4" customFormat="1" ht="15.75" thickBot="1" x14ac:dyDescent="0.3">
      <c r="A99" s="21">
        <v>46269</v>
      </c>
      <c r="B99" s="22">
        <v>7555</v>
      </c>
      <c r="C99" s="105"/>
      <c r="D99" s="56"/>
      <c r="E99" s="53">
        <v>250</v>
      </c>
      <c r="F99" s="56"/>
      <c r="G99" s="56"/>
      <c r="H99" s="56"/>
      <c r="I99" s="56"/>
      <c r="J99" s="53"/>
      <c r="K99" s="52"/>
      <c r="L99" s="52"/>
      <c r="M99" s="52"/>
      <c r="N99" s="52"/>
      <c r="O99" s="52"/>
      <c r="P99" s="52"/>
      <c r="Q99" s="109"/>
      <c r="R99" s="121">
        <f>D96*D99+E96*E99+F96*F99+G96*G99+J96*J99+K99*K96+L96*L99+M96*M99+N96*N99+O96*O99+P96*P99+Q96*Q99+I96*I99+H96*H99</f>
        <v>6625</v>
      </c>
    </row>
    <row r="100" spans="1:18" s="4" customFormat="1" ht="15.75" thickBot="1" x14ac:dyDescent="0.3">
      <c r="A100" s="21"/>
      <c r="B100" s="22"/>
      <c r="C100" s="82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122"/>
      <c r="R100" s="121">
        <f>D96*D100+E96*E100+F96*F100+G97*G100+J96*J100+K100*K97+L97*L100+M97*M100+N97*N100+O97*O100+P97*P100+Q96*Q100+I96*I100+H97*H100</f>
        <v>0</v>
      </c>
    </row>
    <row r="101" spans="1:18" s="4" customFormat="1" ht="15.75" thickBot="1" x14ac:dyDescent="0.3">
      <c r="A101" s="27">
        <v>46266</v>
      </c>
      <c r="B101" s="108">
        <v>7610</v>
      </c>
      <c r="C101" s="23" t="s">
        <v>68</v>
      </c>
      <c r="D101" s="52"/>
      <c r="E101" s="52">
        <v>40</v>
      </c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61"/>
      <c r="R101" s="121">
        <f>D96*D101+E96*E101+F98*F101+G98*G101+J98*J101+K101*K98+L98*L101+M98*M101+N98*N101+O98*O101+P98*P101+Q98*Q101+I96*I101+H98*H101</f>
        <v>1060</v>
      </c>
    </row>
    <row r="102" spans="1:18" s="4" customFormat="1" ht="15.75" thickBot="1" x14ac:dyDescent="0.3">
      <c r="A102" s="27">
        <v>46268</v>
      </c>
      <c r="B102" s="123">
        <v>7644</v>
      </c>
      <c r="C102" s="23"/>
      <c r="D102" s="52"/>
      <c r="E102" s="52">
        <v>26</v>
      </c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61"/>
      <c r="R102" s="121">
        <f>D99*D102+E96*E102+F99*F102+G99*G102+J96*J102+K102*K99+L99*L102+M99*M102+N99*N102+O99*O102+P99*P102+Q99*Q102+I99*I102+H99*H102</f>
        <v>689</v>
      </c>
    </row>
    <row r="103" spans="1:18" s="4" customFormat="1" ht="15.75" thickBot="1" x14ac:dyDescent="0.3">
      <c r="A103" s="27">
        <v>46270</v>
      </c>
      <c r="B103" s="74">
        <v>7575</v>
      </c>
      <c r="C103" s="23"/>
      <c r="D103" s="52"/>
      <c r="E103" s="52">
        <v>39</v>
      </c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61"/>
      <c r="R103" s="121">
        <f>D100*D103+E96*E103+F100*F103+G100*G103+J96*J103+K103*K100+L100*L103+M100*M103+N100*N103+O100*O103+P100*P103+Q96*Q103+I100*I103+H100*H103</f>
        <v>1033.5</v>
      </c>
    </row>
    <row r="104" spans="1:18" s="4" customFormat="1" ht="15.75" thickBot="1" x14ac:dyDescent="0.3">
      <c r="A104" s="27"/>
      <c r="B104" s="124"/>
      <c r="C104" s="2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121">
        <f>D101*D104+E96*E104+F101*F104+G101*G104+J101*J104+K104*K101+L101*L104+M101*M104+N101*N104+O101*O104+P101*P104+Q101*Q104+I101*I104+H101*H104</f>
        <v>0</v>
      </c>
    </row>
    <row r="105" spans="1:18" s="4" customFormat="1" ht="15.75" thickBot="1" x14ac:dyDescent="0.3">
      <c r="A105" s="27"/>
      <c r="B105" s="124"/>
      <c r="C105" s="23"/>
      <c r="D105" s="53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121">
        <v>0</v>
      </c>
    </row>
    <row r="106" spans="1:18" s="4" customFormat="1" ht="15.75" thickBot="1" x14ac:dyDescent="0.3">
      <c r="A106" s="34"/>
      <c r="B106" s="118"/>
      <c r="C106" s="34"/>
      <c r="D106" s="35"/>
      <c r="E106" s="35"/>
      <c r="F106" s="35"/>
      <c r="G106" s="35"/>
      <c r="H106" s="35"/>
      <c r="I106" s="35"/>
      <c r="J106" s="35"/>
      <c r="K106" s="35"/>
      <c r="L106" s="37"/>
      <c r="M106" s="37"/>
      <c r="N106" s="37"/>
      <c r="O106" s="38" t="s">
        <v>32</v>
      </c>
      <c r="P106" s="39"/>
      <c r="Q106" s="39"/>
      <c r="R106" s="67">
        <f>SUM(R97:R101)</f>
        <v>12436.5</v>
      </c>
    </row>
    <row r="107" spans="1:18" s="4" customFormat="1" ht="15.75" thickBot="1" x14ac:dyDescent="0.3">
      <c r="A107" s="40" t="s">
        <v>33</v>
      </c>
      <c r="B107" s="40"/>
      <c r="C107" s="40"/>
      <c r="D107" s="41">
        <f t="shared" ref="D107:Q107" si="11">SUM(D97:D105)</f>
        <v>0</v>
      </c>
      <c r="E107" s="41">
        <f>SUM(E97:E105)</f>
        <v>503</v>
      </c>
      <c r="F107" s="41">
        <f t="shared" si="11"/>
        <v>0</v>
      </c>
      <c r="G107" s="41">
        <f t="shared" si="11"/>
        <v>0</v>
      </c>
      <c r="H107" s="41">
        <f t="shared" si="11"/>
        <v>0</v>
      </c>
      <c r="I107" s="41">
        <f t="shared" si="11"/>
        <v>0</v>
      </c>
      <c r="J107" s="41">
        <f t="shared" si="11"/>
        <v>15</v>
      </c>
      <c r="K107" s="41">
        <f t="shared" si="11"/>
        <v>0</v>
      </c>
      <c r="L107" s="41">
        <f t="shared" si="11"/>
        <v>0</v>
      </c>
      <c r="M107" s="41">
        <f t="shared" si="11"/>
        <v>0</v>
      </c>
      <c r="N107" s="41">
        <f t="shared" si="11"/>
        <v>0</v>
      </c>
      <c r="O107" s="41">
        <f t="shared" si="11"/>
        <v>0</v>
      </c>
      <c r="P107" s="41">
        <f t="shared" si="11"/>
        <v>0</v>
      </c>
      <c r="Q107" s="41">
        <f t="shared" si="11"/>
        <v>16</v>
      </c>
      <c r="R107" s="69">
        <f>SUM(D107:E107:F107:G107:J107:K107:L107:M107:N107:O107:P107:Q107)</f>
        <v>534</v>
      </c>
    </row>
    <row r="108" spans="1:18" s="4" customFormat="1" ht="15.75" thickBot="1" x14ac:dyDescent="0.3">
      <c r="A108" s="43" t="s">
        <v>34</v>
      </c>
      <c r="B108" s="43"/>
      <c r="C108" s="43"/>
      <c r="D108" s="44">
        <f t="shared" ref="D108:Q108" si="12">D96*D107</f>
        <v>0</v>
      </c>
      <c r="E108" s="120">
        <f t="shared" si="12"/>
        <v>13329.5</v>
      </c>
      <c r="F108" s="44">
        <f t="shared" si="12"/>
        <v>0</v>
      </c>
      <c r="G108" s="44">
        <f t="shared" si="12"/>
        <v>0</v>
      </c>
      <c r="H108" s="44">
        <f t="shared" si="12"/>
        <v>0</v>
      </c>
      <c r="I108" s="44">
        <f t="shared" si="12"/>
        <v>0</v>
      </c>
      <c r="J108" s="44">
        <f t="shared" si="12"/>
        <v>397.5</v>
      </c>
      <c r="K108" s="44">
        <f t="shared" si="12"/>
        <v>0</v>
      </c>
      <c r="L108" s="44">
        <f t="shared" si="12"/>
        <v>0</v>
      </c>
      <c r="M108" s="44">
        <f t="shared" si="12"/>
        <v>0</v>
      </c>
      <c r="N108" s="44">
        <f t="shared" si="12"/>
        <v>0</v>
      </c>
      <c r="O108" s="44">
        <f t="shared" si="12"/>
        <v>0</v>
      </c>
      <c r="P108" s="44">
        <f t="shared" si="12"/>
        <v>0</v>
      </c>
      <c r="Q108" s="44">
        <f t="shared" si="12"/>
        <v>432</v>
      </c>
      <c r="R108" s="45">
        <f>SUM(D108:Q108)</f>
        <v>14159</v>
      </c>
    </row>
    <row r="111" spans="1:18" s="4" customFormat="1" ht="15.75" thickBot="1" x14ac:dyDescent="0.3">
      <c r="A111" s="1" t="s">
        <v>69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</row>
    <row r="112" spans="1:18" s="4" customFormat="1" ht="15.75" thickBot="1" x14ac:dyDescent="0.3">
      <c r="A112" s="5" t="s">
        <v>1</v>
      </c>
      <c r="B112" s="5" t="s">
        <v>2</v>
      </c>
      <c r="C112" s="6" t="s">
        <v>3</v>
      </c>
      <c r="D112" s="46" t="s">
        <v>36</v>
      </c>
      <c r="E112" s="8" t="s">
        <v>62</v>
      </c>
      <c r="F112" s="8" t="s">
        <v>37</v>
      </c>
      <c r="G112" s="8" t="s">
        <v>53</v>
      </c>
      <c r="H112" s="8" t="s">
        <v>70</v>
      </c>
      <c r="I112" s="8" t="s">
        <v>45</v>
      </c>
      <c r="J112" s="10" t="s">
        <v>39</v>
      </c>
      <c r="K112" s="10" t="s">
        <v>71</v>
      </c>
      <c r="L112" s="10"/>
      <c r="M112" s="10" t="s">
        <v>13</v>
      </c>
      <c r="N112" s="11" t="s">
        <v>72</v>
      </c>
      <c r="O112" s="11" t="s">
        <v>15</v>
      </c>
      <c r="P112" s="11" t="s">
        <v>47</v>
      </c>
      <c r="Q112" s="11" t="s">
        <v>10</v>
      </c>
      <c r="R112" s="125" t="s">
        <v>17</v>
      </c>
    </row>
    <row r="113" spans="1:19" s="4" customFormat="1" ht="15.75" thickBot="1" x14ac:dyDescent="0.3">
      <c r="A113" s="126"/>
      <c r="B113" s="126"/>
      <c r="C113" s="70"/>
      <c r="D113" s="15">
        <v>24</v>
      </c>
      <c r="E113" s="16">
        <v>26.5</v>
      </c>
      <c r="F113" s="71">
        <v>24</v>
      </c>
      <c r="G113" s="16">
        <v>26.5</v>
      </c>
      <c r="H113" s="18">
        <v>24</v>
      </c>
      <c r="I113" s="16">
        <v>26.5</v>
      </c>
      <c r="J113" s="18">
        <v>19</v>
      </c>
      <c r="K113" s="18">
        <v>10</v>
      </c>
      <c r="L113" s="71">
        <v>18</v>
      </c>
      <c r="M113" s="18">
        <v>19.5</v>
      </c>
      <c r="N113" s="16">
        <v>22</v>
      </c>
      <c r="O113" s="19">
        <v>18</v>
      </c>
      <c r="P113" s="19">
        <v>24.5</v>
      </c>
      <c r="Q113" s="72">
        <v>27</v>
      </c>
      <c r="R113" s="127"/>
      <c r="S113" s="100">
        <f>R122+R136</f>
        <v>21112</v>
      </c>
    </row>
    <row r="114" spans="1:19" s="4" customFormat="1" ht="16.5" thickTop="1" thickBot="1" x14ac:dyDescent="0.3">
      <c r="A114" s="21">
        <v>46265</v>
      </c>
      <c r="B114" s="128">
        <v>2026</v>
      </c>
      <c r="C114" s="129"/>
      <c r="D114" s="66"/>
      <c r="E114" s="130">
        <v>50</v>
      </c>
      <c r="F114" s="66"/>
      <c r="G114" s="66"/>
      <c r="H114" s="66"/>
      <c r="I114" s="66"/>
      <c r="J114" s="66"/>
      <c r="K114" s="66"/>
      <c r="L114" s="66"/>
      <c r="M114" s="66"/>
      <c r="N114" s="52"/>
      <c r="O114" s="52"/>
      <c r="P114" s="52"/>
      <c r="Q114" s="52"/>
      <c r="R114" s="28">
        <f>D113*D114+E113*E114+F113*F114+G113*G114+J113*J114+L113*L114+K113*K114+M113*M114+N113*N114+O113*O114+P113*P114+Q113*Q114+H113*H114+I113*I114</f>
        <v>1325</v>
      </c>
    </row>
    <row r="115" spans="1:19" s="4" customFormat="1" ht="15.75" thickBot="1" x14ac:dyDescent="0.3">
      <c r="A115" s="21">
        <v>46266</v>
      </c>
      <c r="B115" s="131">
        <v>2006</v>
      </c>
      <c r="C115" s="132"/>
      <c r="D115" s="66"/>
      <c r="E115" s="130">
        <v>31</v>
      </c>
      <c r="F115" s="66"/>
      <c r="G115" s="66"/>
      <c r="H115" s="66"/>
      <c r="I115" s="130"/>
      <c r="J115" s="66"/>
      <c r="K115" s="66"/>
      <c r="L115" s="66"/>
      <c r="M115" s="66"/>
      <c r="N115" s="53"/>
      <c r="O115" s="52"/>
      <c r="P115" s="52"/>
      <c r="Q115" s="53"/>
      <c r="R115" s="28">
        <f>D113*D115+E113*E115+F113*F115+G113*G115+J113*J115+L113*L115+K113*K115+M113*M115+N113*N115+O113*O115+P113*P115+Q113*Q115+H113*H115+I113*I115</f>
        <v>821.5</v>
      </c>
    </row>
    <row r="116" spans="1:19" s="4" customFormat="1" ht="15.75" thickBot="1" x14ac:dyDescent="0.3">
      <c r="A116" s="133">
        <v>46267</v>
      </c>
      <c r="B116" s="131">
        <v>2043</v>
      </c>
      <c r="C116" s="132"/>
      <c r="D116" s="66"/>
      <c r="E116" s="66">
        <v>51</v>
      </c>
      <c r="F116" s="66"/>
      <c r="G116" s="66"/>
      <c r="H116" s="66"/>
      <c r="I116" s="66">
        <v>13</v>
      </c>
      <c r="J116" s="66"/>
      <c r="K116" s="66"/>
      <c r="L116" s="66"/>
      <c r="M116" s="66"/>
      <c r="N116" s="52"/>
      <c r="O116" s="52"/>
      <c r="P116" s="52"/>
      <c r="Q116" s="61"/>
      <c r="R116" s="134">
        <f>D113*D116+E113*E116+F113*F116+G113*G116+J113*J116+K113*K116+L113*L116+M113*M116+N113*N116+O113*O116+P113*P116+Q113*Q116+I113*I116+H113*H116</f>
        <v>1696</v>
      </c>
    </row>
    <row r="117" spans="1:19" s="4" customFormat="1" ht="15.75" thickBot="1" x14ac:dyDescent="0.3">
      <c r="A117" s="133">
        <v>46268</v>
      </c>
      <c r="B117" s="131">
        <v>3510</v>
      </c>
      <c r="C117" s="132"/>
      <c r="D117" s="66"/>
      <c r="E117" s="66">
        <v>21</v>
      </c>
      <c r="F117" s="66"/>
      <c r="G117" s="66"/>
      <c r="H117" s="66"/>
      <c r="I117" s="66"/>
      <c r="J117" s="66"/>
      <c r="K117" s="66"/>
      <c r="L117" s="66"/>
      <c r="N117" s="52"/>
      <c r="O117" s="52"/>
      <c r="P117" s="52"/>
      <c r="Q117" s="61"/>
      <c r="R117" s="134">
        <f>D114*D117+E113*E117+F114*F117+G114*G117+J114*J117+K114*K117+L114*L117+M114*M117+N114*N117+O114*O117+P114*P117+Q113*Q117+I113*I117+H114*H117</f>
        <v>556.5</v>
      </c>
    </row>
    <row r="118" spans="1:19" s="4" customFormat="1" ht="15.75" thickBot="1" x14ac:dyDescent="0.3">
      <c r="A118" s="133">
        <v>46269</v>
      </c>
      <c r="B118" s="131">
        <v>3540</v>
      </c>
      <c r="C118" s="132"/>
      <c r="D118" s="66"/>
      <c r="E118" s="66">
        <v>78</v>
      </c>
      <c r="F118" s="66"/>
      <c r="G118" s="66"/>
      <c r="H118" s="66"/>
      <c r="I118" s="66">
        <v>11</v>
      </c>
      <c r="J118" s="66"/>
      <c r="K118" s="66"/>
      <c r="L118" s="66"/>
      <c r="M118" s="66"/>
      <c r="N118" s="52">
        <v>13</v>
      </c>
      <c r="O118" s="52"/>
      <c r="P118" s="52"/>
      <c r="Q118" s="61">
        <v>15</v>
      </c>
      <c r="R118" s="134">
        <f>E113*E118+I113*I118+Q113*Q118+N113*N118</f>
        <v>3049.5</v>
      </c>
    </row>
    <row r="119" spans="1:19" s="4" customFormat="1" ht="15.75" thickBot="1" x14ac:dyDescent="0.3">
      <c r="A119" s="133"/>
      <c r="B119" s="131"/>
      <c r="C119" s="132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52"/>
      <c r="O119" s="52"/>
      <c r="P119" s="52"/>
      <c r="Q119" s="61"/>
      <c r="R119" s="135">
        <f>D113*D119+E113*E119+F113*F119+G113*G119+J113*J119+K113*K119+L113*L119+M113*M119+N113*N119+O113*O119+P113*P119+Q113*Q119</f>
        <v>0</v>
      </c>
    </row>
    <row r="120" spans="1:19" s="4" customFormat="1" ht="15.75" thickBot="1" x14ac:dyDescent="0.3">
      <c r="A120" s="88" t="s">
        <v>31</v>
      </c>
      <c r="B120" s="89"/>
      <c r="C120" s="34"/>
      <c r="D120" s="35"/>
      <c r="E120" s="35"/>
      <c r="F120" s="35"/>
      <c r="G120" s="35"/>
      <c r="H120" s="35"/>
      <c r="I120" s="35"/>
      <c r="J120" s="35"/>
      <c r="K120" s="35"/>
      <c r="L120" s="37"/>
      <c r="M120" s="37"/>
      <c r="N120" s="37"/>
      <c r="O120" s="38" t="s">
        <v>32</v>
      </c>
      <c r="P120" s="39"/>
      <c r="Q120" s="39"/>
      <c r="R120" s="67">
        <f>SUM(R114:R119)</f>
        <v>7448.5</v>
      </c>
    </row>
    <row r="121" spans="1:19" s="4" customFormat="1" ht="15.75" thickBot="1" x14ac:dyDescent="0.3">
      <c r="A121" s="40" t="s">
        <v>33</v>
      </c>
      <c r="B121" s="40"/>
      <c r="C121" s="40"/>
      <c r="D121" s="41">
        <f>SUM(D114:D119)</f>
        <v>0</v>
      </c>
      <c r="E121" s="41">
        <f t="shared" ref="E121:Q121" si="13">SUM(E114:E119)</f>
        <v>231</v>
      </c>
      <c r="F121" s="41">
        <f t="shared" si="13"/>
        <v>0</v>
      </c>
      <c r="G121" s="41">
        <f t="shared" si="13"/>
        <v>0</v>
      </c>
      <c r="H121" s="41">
        <f t="shared" si="13"/>
        <v>0</v>
      </c>
      <c r="I121" s="41">
        <f t="shared" si="13"/>
        <v>24</v>
      </c>
      <c r="J121" s="41">
        <f t="shared" si="13"/>
        <v>0</v>
      </c>
      <c r="K121" s="41">
        <f t="shared" si="13"/>
        <v>0</v>
      </c>
      <c r="L121" s="41">
        <f t="shared" si="13"/>
        <v>0</v>
      </c>
      <c r="M121" s="41">
        <f t="shared" si="13"/>
        <v>0</v>
      </c>
      <c r="N121" s="41">
        <f t="shared" si="13"/>
        <v>13</v>
      </c>
      <c r="O121" s="41">
        <f t="shared" si="13"/>
        <v>0</v>
      </c>
      <c r="P121" s="41">
        <f t="shared" si="13"/>
        <v>0</v>
      </c>
      <c r="Q121" s="41">
        <f t="shared" si="13"/>
        <v>15</v>
      </c>
      <c r="R121" s="69">
        <f>SUM(D121:E121:F121:G121:J121:K121:L121:M121:N121:O121:P121:Q121)</f>
        <v>283</v>
      </c>
    </row>
    <row r="122" spans="1:19" s="4" customFormat="1" ht="15.75" thickBot="1" x14ac:dyDescent="0.3">
      <c r="A122" s="43" t="s">
        <v>34</v>
      </c>
      <c r="B122" s="43"/>
      <c r="C122" s="43"/>
      <c r="D122" s="44">
        <f t="shared" ref="D122:Q122" si="14">D113*D121</f>
        <v>0</v>
      </c>
      <c r="E122" s="44">
        <f t="shared" si="14"/>
        <v>6121.5</v>
      </c>
      <c r="F122" s="44">
        <f t="shared" si="14"/>
        <v>0</v>
      </c>
      <c r="G122" s="44">
        <f t="shared" si="14"/>
        <v>0</v>
      </c>
      <c r="H122" s="44">
        <f t="shared" si="14"/>
        <v>0</v>
      </c>
      <c r="I122" s="44">
        <f t="shared" si="14"/>
        <v>636</v>
      </c>
      <c r="J122" s="44">
        <f t="shared" si="14"/>
        <v>0</v>
      </c>
      <c r="K122" s="44">
        <f t="shared" si="14"/>
        <v>0</v>
      </c>
      <c r="L122" s="44">
        <f t="shared" si="14"/>
        <v>0</v>
      </c>
      <c r="M122" s="44">
        <f t="shared" si="14"/>
        <v>0</v>
      </c>
      <c r="N122" s="44">
        <f t="shared" si="14"/>
        <v>286</v>
      </c>
      <c r="O122" s="44">
        <f t="shared" si="14"/>
        <v>0</v>
      </c>
      <c r="P122" s="44">
        <f t="shared" si="14"/>
        <v>0</v>
      </c>
      <c r="Q122" s="44">
        <f t="shared" si="14"/>
        <v>405</v>
      </c>
      <c r="R122" s="45">
        <f>SUM(D122:Q122)</f>
        <v>7448.5</v>
      </c>
    </row>
    <row r="125" spans="1:19" s="4" customFormat="1" ht="15.75" thickBot="1" x14ac:dyDescent="0.3">
      <c r="A125" s="1" t="s">
        <v>73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"/>
    </row>
    <row r="126" spans="1:19" s="4" customFormat="1" ht="15.75" thickBot="1" x14ac:dyDescent="0.3">
      <c r="A126" s="5" t="s">
        <v>1</v>
      </c>
      <c r="B126" s="5" t="s">
        <v>2</v>
      </c>
      <c r="C126" s="6" t="s">
        <v>3</v>
      </c>
      <c r="D126" s="46" t="s">
        <v>36</v>
      </c>
      <c r="E126" s="8" t="s">
        <v>65</v>
      </c>
      <c r="F126" s="8" t="s">
        <v>37</v>
      </c>
      <c r="G126" s="8" t="s">
        <v>53</v>
      </c>
      <c r="H126" s="8" t="s">
        <v>70</v>
      </c>
      <c r="I126" s="8" t="s">
        <v>45</v>
      </c>
      <c r="J126" s="10" t="s">
        <v>39</v>
      </c>
      <c r="K126" s="10" t="s">
        <v>71</v>
      </c>
      <c r="L126" s="10" t="s">
        <v>13</v>
      </c>
      <c r="M126" s="10" t="s">
        <v>13</v>
      </c>
      <c r="N126" s="11" t="s">
        <v>14</v>
      </c>
      <c r="O126" s="11" t="s">
        <v>15</v>
      </c>
      <c r="P126" s="11" t="s">
        <v>16</v>
      </c>
      <c r="Q126" s="11" t="s">
        <v>10</v>
      </c>
      <c r="R126" s="12" t="s">
        <v>17</v>
      </c>
    </row>
    <row r="127" spans="1:19" s="4" customFormat="1" ht="15.75" thickBot="1" x14ac:dyDescent="0.3">
      <c r="A127" s="126"/>
      <c r="B127" s="126"/>
      <c r="C127" s="70"/>
      <c r="D127" s="15">
        <v>24</v>
      </c>
      <c r="E127" s="16">
        <v>26.5</v>
      </c>
      <c r="F127" s="71">
        <v>24</v>
      </c>
      <c r="G127" s="16">
        <v>26.5</v>
      </c>
      <c r="H127" s="18">
        <v>24</v>
      </c>
      <c r="I127" s="71">
        <v>26.5</v>
      </c>
      <c r="J127" s="18">
        <v>19</v>
      </c>
      <c r="K127" s="18">
        <v>10</v>
      </c>
      <c r="L127" s="71">
        <v>19.5</v>
      </c>
      <c r="M127" s="16">
        <v>22</v>
      </c>
      <c r="N127" s="71">
        <v>26.5</v>
      </c>
      <c r="O127" s="19">
        <v>18</v>
      </c>
      <c r="P127" s="19">
        <v>15</v>
      </c>
      <c r="Q127" s="19">
        <v>27</v>
      </c>
      <c r="R127" s="20"/>
    </row>
    <row r="128" spans="1:19" s="4" customFormat="1" ht="16.5" thickTop="1" thickBot="1" x14ac:dyDescent="0.3">
      <c r="A128" s="21">
        <v>46265</v>
      </c>
      <c r="B128" s="128">
        <v>14738</v>
      </c>
      <c r="C128" s="129"/>
      <c r="D128" s="66"/>
      <c r="E128" s="66">
        <v>212</v>
      </c>
      <c r="F128" s="66"/>
      <c r="G128" s="66"/>
      <c r="H128" s="66"/>
      <c r="I128" s="66"/>
      <c r="J128" s="66"/>
      <c r="K128" s="66"/>
      <c r="L128" s="66"/>
      <c r="M128" s="66"/>
      <c r="N128" s="52"/>
      <c r="O128" s="52"/>
      <c r="P128" s="52"/>
      <c r="Q128" s="52"/>
      <c r="R128" s="28">
        <f>D127*D128+E127*E128+F127*F128+G127*G128+J127*J128+L127*L128+K127*K128+M127*M128+N127*N128+O127*O128+P127*P128+Q127*Q128+H127*H128+I127*I128</f>
        <v>5618</v>
      </c>
    </row>
    <row r="129" spans="1:18" s="4" customFormat="1" ht="15.75" thickBot="1" x14ac:dyDescent="0.3">
      <c r="A129" s="21">
        <v>46266</v>
      </c>
      <c r="B129" s="131">
        <v>7604</v>
      </c>
      <c r="C129" s="132"/>
      <c r="D129" s="66"/>
      <c r="E129" s="130">
        <v>25</v>
      </c>
      <c r="F129" s="66"/>
      <c r="G129" s="66"/>
      <c r="H129" s="66"/>
      <c r="I129" s="66">
        <v>45</v>
      </c>
      <c r="J129" s="66"/>
      <c r="K129" s="66"/>
      <c r="L129" s="66"/>
      <c r="M129" s="130"/>
      <c r="N129" s="52"/>
      <c r="O129" s="52"/>
      <c r="P129" s="52"/>
      <c r="Q129" s="52"/>
      <c r="R129" s="28">
        <f>D127*D129+E127*E129+F127*F129+G127*G129+J127*J129+L127*L129+K127*K129+M127*M129+N127*N129+O127*O129+P127*P129+Q127*Q129+H127*H129+I127*I129</f>
        <v>1855</v>
      </c>
    </row>
    <row r="130" spans="1:18" s="4" customFormat="1" ht="15.75" thickBot="1" x14ac:dyDescent="0.3">
      <c r="A130" s="21">
        <v>46267</v>
      </c>
      <c r="B130" s="131">
        <v>7626</v>
      </c>
      <c r="C130" s="132"/>
      <c r="D130" s="66"/>
      <c r="E130" s="130">
        <v>43</v>
      </c>
      <c r="F130" s="66"/>
      <c r="G130" s="66"/>
      <c r="H130" s="66"/>
      <c r="I130" s="66"/>
      <c r="J130" s="66"/>
      <c r="K130" s="66"/>
      <c r="L130" s="66"/>
      <c r="M130" s="130">
        <v>20</v>
      </c>
      <c r="N130" s="52"/>
      <c r="O130" s="52"/>
      <c r="P130" s="52"/>
      <c r="Q130" s="61"/>
      <c r="R130" s="28">
        <f>D128*D130+E127*E130+F128*F130+G127*G130+J128*J130+L128*L130+K128*K130+M127*M130+N128*N130+O128*O130+P128*P130+Q128*Q130+H128*H130+I127*I130</f>
        <v>1579.5</v>
      </c>
    </row>
    <row r="131" spans="1:18" s="4" customFormat="1" ht="15.75" thickBot="1" x14ac:dyDescent="0.3">
      <c r="A131" s="27">
        <v>46268</v>
      </c>
      <c r="B131" s="131">
        <v>7639</v>
      </c>
      <c r="C131" s="132"/>
      <c r="D131" s="66"/>
      <c r="E131" s="130">
        <v>66</v>
      </c>
      <c r="F131" s="66"/>
      <c r="G131" s="66"/>
      <c r="H131" s="66"/>
      <c r="I131" s="66"/>
      <c r="J131" s="66"/>
      <c r="K131" s="66"/>
      <c r="L131" s="66"/>
      <c r="M131" s="66"/>
      <c r="N131" s="52"/>
      <c r="O131" s="52"/>
      <c r="P131" s="52"/>
      <c r="Q131" s="61"/>
      <c r="R131" s="134">
        <f>D128*D131+E127*E131+F127*F131+G128*G131+J128*J131+K128*K131+L128*L131+M127*M131+N128*N131+O128*O131+P128*P131+Q127*Q131+I127*I131+H128*H131</f>
        <v>1749</v>
      </c>
    </row>
    <row r="132" spans="1:18" s="4" customFormat="1" ht="15.75" thickBot="1" x14ac:dyDescent="0.3">
      <c r="A132" s="133">
        <v>46269</v>
      </c>
      <c r="B132" s="131">
        <v>7556</v>
      </c>
      <c r="C132" s="132"/>
      <c r="D132" s="66"/>
      <c r="E132" s="130">
        <v>37</v>
      </c>
      <c r="F132" s="66"/>
      <c r="G132" s="130"/>
      <c r="H132" s="130"/>
      <c r="I132" s="130">
        <v>18</v>
      </c>
      <c r="J132" s="130"/>
      <c r="K132" s="130"/>
      <c r="L132" s="130"/>
      <c r="M132" s="130"/>
      <c r="N132" s="53"/>
      <c r="O132" s="53"/>
      <c r="P132" s="53"/>
      <c r="Q132" s="109"/>
      <c r="R132" s="28">
        <f>D127*D132+E127*E132+F131*F132+G127*G132+J131*J132+L131*L132+K131*K132+M127*M132+N131*N132+O131*O132+P131*P132+Q127*Q132+H131*H132+I127*I132</f>
        <v>1457.5</v>
      </c>
    </row>
    <row r="133" spans="1:18" s="4" customFormat="1" ht="15.75" thickBot="1" x14ac:dyDescent="0.3">
      <c r="A133" s="133">
        <v>46270</v>
      </c>
      <c r="B133" s="132">
        <v>7569</v>
      </c>
      <c r="C133" s="132"/>
      <c r="D133" s="66"/>
      <c r="E133" s="66">
        <v>53</v>
      </c>
      <c r="F133" s="66"/>
      <c r="G133" s="66"/>
      <c r="H133" s="66"/>
      <c r="I133" s="66"/>
      <c r="J133" s="66"/>
      <c r="K133" s="66"/>
      <c r="L133" s="66"/>
      <c r="M133" s="66"/>
      <c r="N133" s="52"/>
      <c r="O133" s="52"/>
      <c r="P133" s="52"/>
      <c r="Q133" s="61"/>
      <c r="R133" s="134">
        <f>D127*D133+E127*E133+F128*F133+G130*G133+J128*J133+K130*K133+L130*L133+M128*M133+N129*N133+O130*O133+P130*P133+Q127*Q133+I127*I133+H128*H133</f>
        <v>1404.5</v>
      </c>
    </row>
    <row r="134" spans="1:18" s="4" customFormat="1" ht="15.75" thickBot="1" x14ac:dyDescent="0.3">
      <c r="A134" s="88" t="s">
        <v>31</v>
      </c>
      <c r="B134" s="89"/>
      <c r="C134" s="34"/>
      <c r="D134" s="35"/>
      <c r="E134" s="35"/>
      <c r="F134" s="35"/>
      <c r="G134" s="35"/>
      <c r="H134" s="35"/>
      <c r="I134" s="35"/>
      <c r="J134" s="35"/>
      <c r="K134" s="35"/>
      <c r="L134" s="37"/>
      <c r="M134" s="37"/>
      <c r="N134" s="37"/>
      <c r="O134" s="38" t="s">
        <v>32</v>
      </c>
      <c r="P134" s="39"/>
      <c r="Q134" s="39"/>
      <c r="R134" s="67">
        <f>SUM(R128:R133)</f>
        <v>13663.5</v>
      </c>
    </row>
    <row r="135" spans="1:18" s="4" customFormat="1" ht="15.75" thickBot="1" x14ac:dyDescent="0.3">
      <c r="A135" s="40" t="s">
        <v>33</v>
      </c>
      <c r="B135" s="40"/>
      <c r="C135" s="40"/>
      <c r="D135" s="119">
        <f>SUM(D128:D133)</f>
        <v>0</v>
      </c>
      <c r="E135" s="119">
        <f t="shared" ref="E135:Q135" si="15">SUM(E128:E133)</f>
        <v>436</v>
      </c>
      <c r="F135" s="119">
        <f t="shared" si="15"/>
        <v>0</v>
      </c>
      <c r="G135" s="119">
        <f t="shared" si="15"/>
        <v>0</v>
      </c>
      <c r="H135" s="119">
        <f t="shared" si="15"/>
        <v>0</v>
      </c>
      <c r="I135" s="119">
        <f>SUM(I128:I133)</f>
        <v>63</v>
      </c>
      <c r="J135" s="119">
        <f t="shared" si="15"/>
        <v>0</v>
      </c>
      <c r="K135" s="119">
        <f t="shared" si="15"/>
        <v>0</v>
      </c>
      <c r="L135" s="119">
        <f>SUM(L128:L133)</f>
        <v>0</v>
      </c>
      <c r="M135" s="119">
        <f>SUM(M128:M133)</f>
        <v>20</v>
      </c>
      <c r="N135" s="119">
        <f t="shared" si="15"/>
        <v>0</v>
      </c>
      <c r="O135" s="119">
        <f t="shared" si="15"/>
        <v>0</v>
      </c>
      <c r="P135" s="119">
        <f t="shared" si="15"/>
        <v>0</v>
      </c>
      <c r="Q135" s="119">
        <f t="shared" si="15"/>
        <v>0</v>
      </c>
      <c r="R135" s="69">
        <f>SUM(D135:E135:F135:G135:J135:K135:L135:M135:N135:O135:P135:Q135)</f>
        <v>519</v>
      </c>
    </row>
    <row r="136" spans="1:18" s="4" customFormat="1" ht="15.75" thickBot="1" x14ac:dyDescent="0.3">
      <c r="A136" s="43" t="s">
        <v>34</v>
      </c>
      <c r="B136" s="43"/>
      <c r="C136" s="43"/>
      <c r="D136" s="120">
        <f>D127*D135</f>
        <v>0</v>
      </c>
      <c r="E136" s="120">
        <f t="shared" ref="E136:Q136" si="16">E127*E135</f>
        <v>11554</v>
      </c>
      <c r="F136" s="120">
        <f t="shared" si="16"/>
        <v>0</v>
      </c>
      <c r="G136" s="120">
        <f t="shared" si="16"/>
        <v>0</v>
      </c>
      <c r="H136" s="120">
        <f t="shared" si="16"/>
        <v>0</v>
      </c>
      <c r="I136" s="120">
        <f t="shared" si="16"/>
        <v>1669.5</v>
      </c>
      <c r="J136" s="120">
        <f t="shared" si="16"/>
        <v>0</v>
      </c>
      <c r="K136" s="120">
        <f t="shared" si="16"/>
        <v>0</v>
      </c>
      <c r="L136" s="120">
        <f t="shared" si="16"/>
        <v>0</v>
      </c>
      <c r="M136" s="120">
        <f>M127*M135</f>
        <v>440</v>
      </c>
      <c r="N136" s="120">
        <f t="shared" si="16"/>
        <v>0</v>
      </c>
      <c r="O136" s="120">
        <f t="shared" si="16"/>
        <v>0</v>
      </c>
      <c r="P136" s="120">
        <f t="shared" si="16"/>
        <v>0</v>
      </c>
      <c r="Q136" s="120">
        <f t="shared" si="16"/>
        <v>0</v>
      </c>
      <c r="R136" s="45">
        <f>SUM(D136:Q136)</f>
        <v>13663.5</v>
      </c>
    </row>
    <row r="139" spans="1:18" s="4" customFormat="1" ht="15.75" thickBot="1" x14ac:dyDescent="0.3">
      <c r="A139" s="136" t="s">
        <v>74</v>
      </c>
      <c r="B139" s="137"/>
      <c r="C139" s="13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"/>
    </row>
    <row r="140" spans="1:18" s="4" customFormat="1" ht="15.75" thickBot="1" x14ac:dyDescent="0.3">
      <c r="A140" s="138" t="s">
        <v>1</v>
      </c>
      <c r="B140" s="138" t="s">
        <v>2</v>
      </c>
      <c r="C140" s="138" t="s">
        <v>3</v>
      </c>
      <c r="D140" s="46" t="s">
        <v>36</v>
      </c>
      <c r="E140" s="8" t="s">
        <v>5</v>
      </c>
      <c r="F140" s="8" t="s">
        <v>37</v>
      </c>
      <c r="G140" s="8" t="s">
        <v>7</v>
      </c>
      <c r="H140" s="8"/>
      <c r="I140" s="8"/>
      <c r="J140" s="10" t="s">
        <v>39</v>
      </c>
      <c r="K140" s="10" t="s">
        <v>11</v>
      </c>
      <c r="L140" s="10" t="s">
        <v>45</v>
      </c>
      <c r="M140" s="10" t="s">
        <v>13</v>
      </c>
      <c r="N140" s="11" t="s">
        <v>14</v>
      </c>
      <c r="O140" s="11" t="s">
        <v>41</v>
      </c>
      <c r="P140" s="11" t="s">
        <v>48</v>
      </c>
      <c r="Q140" s="11" t="s">
        <v>10</v>
      </c>
      <c r="R140" s="12" t="s">
        <v>17</v>
      </c>
    </row>
    <row r="141" spans="1:18" s="4" customFormat="1" ht="15.75" thickBot="1" x14ac:dyDescent="0.3">
      <c r="A141" s="139"/>
      <c r="B141" s="139"/>
      <c r="C141" s="139"/>
      <c r="D141" s="140">
        <v>27</v>
      </c>
      <c r="E141" s="16"/>
      <c r="F141" s="18">
        <v>24.5</v>
      </c>
      <c r="G141" s="16"/>
      <c r="H141" s="16"/>
      <c r="I141" s="16"/>
      <c r="J141" s="18">
        <v>19</v>
      </c>
      <c r="K141" s="18">
        <v>22</v>
      </c>
      <c r="L141" s="18">
        <v>24.5</v>
      </c>
      <c r="M141" s="18">
        <v>19.5</v>
      </c>
      <c r="N141" s="18">
        <v>0</v>
      </c>
      <c r="O141" s="19">
        <v>26.5</v>
      </c>
      <c r="P141" s="19">
        <v>16</v>
      </c>
      <c r="Q141" s="19">
        <v>24.5</v>
      </c>
      <c r="R141" s="20"/>
    </row>
    <row r="142" spans="1:18" s="4" customFormat="1" ht="15.75" thickBot="1" x14ac:dyDescent="0.3">
      <c r="A142" s="21">
        <v>46268</v>
      </c>
      <c r="B142" s="108">
        <v>14203</v>
      </c>
      <c r="C142" s="105"/>
      <c r="D142" s="53">
        <v>100</v>
      </c>
      <c r="E142" s="56"/>
      <c r="F142" s="56"/>
      <c r="G142"/>
      <c r="H142"/>
      <c r="I142"/>
      <c r="J142"/>
      <c r="K142" s="57"/>
      <c r="L142" s="52"/>
      <c r="M142" s="52"/>
      <c r="N142" s="52"/>
      <c r="O142" s="52"/>
      <c r="P142" s="52"/>
      <c r="Q142" s="52"/>
      <c r="R142" s="59">
        <f>D141*D142+E141*E142+F141*F142+G141*G142+J141*J142+L141*L142+K141*K142+M141*M142+N141*N142+O141*O142+P141*P142+Q141*Q142+H141*H142</f>
        <v>2700</v>
      </c>
    </row>
    <row r="143" spans="1:18" s="4" customFormat="1" ht="15.75" thickBot="1" x14ac:dyDescent="0.3">
      <c r="A143" s="21">
        <v>46269</v>
      </c>
      <c r="B143" s="108">
        <v>14223</v>
      </c>
      <c r="C143" s="105"/>
      <c r="D143" s="52">
        <v>30</v>
      </c>
      <c r="E143" s="52"/>
      <c r="F143" s="52"/>
      <c r="G143"/>
      <c r="H143" s="56"/>
      <c r="I143" s="56"/>
      <c r="J143" s="56"/>
      <c r="K143" s="52"/>
      <c r="L143" s="52"/>
      <c r="M143" s="52"/>
      <c r="N143" s="52"/>
      <c r="O143" s="52"/>
      <c r="P143" s="52"/>
      <c r="Q143" s="52"/>
      <c r="R143" s="59">
        <f>D141*D143+E141*E143+F141*F143+G141*G143+J141*J143+L141*L143+K141*K143+M141*M143+N141*N143+O141*O143+P141*P143+Q141*Q143+H141*H143</f>
        <v>810</v>
      </c>
    </row>
    <row r="144" spans="1:18" s="4" customFormat="1" ht="15.75" thickBot="1" x14ac:dyDescent="0.3">
      <c r="A144" s="27"/>
      <c r="B144" s="22"/>
      <c r="C144" s="23"/>
      <c r="D144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9">
        <f>D141*D144+E143*E144+F143*F144+G143*G144+J143*J144+L143*L144+K143*K144+M143*M144+N143*N144+O143*O144+P143*P144+Q143*Q144+H143*H144</f>
        <v>0</v>
      </c>
    </row>
    <row r="145" spans="1:18" s="4" customFormat="1" ht="15.75" thickBot="1" x14ac:dyDescent="0.3">
      <c r="A145" s="27"/>
      <c r="B145" s="22"/>
      <c r="C145" s="2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65">
        <v>0</v>
      </c>
    </row>
    <row r="146" spans="1:18" s="4" customFormat="1" ht="15.75" thickBot="1" x14ac:dyDescent="0.3">
      <c r="A146" s="27"/>
      <c r="B146" s="141"/>
      <c r="C146" s="2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65">
        <f>D141*D146+E141*E146+F141*F146+G141*G146+J141*J146+K141*K146+L141*L146+M141*M146+N141*N146+O141*O146+P141*P146+Q141*Q146</f>
        <v>0</v>
      </c>
    </row>
    <row r="147" spans="1:18" s="4" customFormat="1" ht="15.75" thickBot="1" x14ac:dyDescent="0.3">
      <c r="A147" s="27"/>
      <c r="B147" s="22"/>
      <c r="C147" s="23"/>
      <c r="D147" s="53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65">
        <f>D141*D147+E141*E147+F141*F147+G141*G147+J141*J147+K141*K147+L141*L147+M141*M147+N141*N147+O141*O147+P141*P147+Q141*Q147</f>
        <v>0</v>
      </c>
    </row>
    <row r="148" spans="1:18" s="4" customFormat="1" ht="15.75" thickBot="1" x14ac:dyDescent="0.3">
      <c r="A148" s="27"/>
      <c r="B148" s="22"/>
      <c r="C148" s="2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65">
        <f>D141*D148+E141*E148+F141*F148+G141*G148+J141*J148+K141*K148+L141*L148+M141*M148+N141*N148+O141*O148+P141*P148+Q141*Q148</f>
        <v>0</v>
      </c>
    </row>
    <row r="149" spans="1:18" s="4" customFormat="1" ht="15.75" thickBot="1" x14ac:dyDescent="0.3">
      <c r="A149" s="27"/>
      <c r="B149" s="22"/>
      <c r="C149" s="2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65">
        <f>D141*D149+E141*E149+F141*F149+G141*G149+J141*J149+K141*K149+L141*L149+M141*M149+N141*N149+O141*O149+P141*P149+Q141*Q149</f>
        <v>0</v>
      </c>
    </row>
    <row r="150" spans="1:18" s="4" customFormat="1" ht="15.75" thickBot="1" x14ac:dyDescent="0.3">
      <c r="A150" s="27"/>
      <c r="B150" s="141"/>
      <c r="C150" s="2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65">
        <f>D141*D150+E141*E150+F141*F150+G141*G150+J141*J150+K141*K150+L141*L150+M141*M150+N141*N150+O141*O150+P141*P150+Q141*Q150</f>
        <v>0</v>
      </c>
    </row>
    <row r="151" spans="1:18" s="4" customFormat="1" ht="15.75" thickBot="1" x14ac:dyDescent="0.3">
      <c r="A151" s="34"/>
      <c r="B151" s="118"/>
      <c r="C151" s="34"/>
      <c r="D151" s="35"/>
      <c r="E151" s="35"/>
      <c r="F151" s="35"/>
      <c r="G151" s="35"/>
      <c r="H151" s="35"/>
      <c r="I151" s="35"/>
      <c r="J151" s="35"/>
      <c r="K151" s="35"/>
      <c r="L151" s="37"/>
      <c r="M151" s="37"/>
      <c r="N151" s="37"/>
      <c r="O151" s="38" t="s">
        <v>32</v>
      </c>
      <c r="P151" s="39"/>
      <c r="Q151" s="39"/>
      <c r="R151" s="67">
        <f>SUM(R142:R150)</f>
        <v>3510</v>
      </c>
    </row>
    <row r="152" spans="1:18" s="4" customFormat="1" ht="15.75" thickBot="1" x14ac:dyDescent="0.3">
      <c r="A152" s="40" t="s">
        <v>33</v>
      </c>
      <c r="B152" s="40"/>
      <c r="C152" s="40"/>
      <c r="D152" s="68">
        <f>SUM(D142:D150)</f>
        <v>130</v>
      </c>
      <c r="E152" s="68">
        <f>SUM(E142:E150)</f>
        <v>0</v>
      </c>
      <c r="F152" s="68">
        <f>SUM(F142:F150)</f>
        <v>0</v>
      </c>
      <c r="G152" s="68">
        <f>SUM(G142:G150)</f>
        <v>0</v>
      </c>
      <c r="H152" s="68"/>
      <c r="I152" s="68"/>
      <c r="J152" s="68">
        <f>SUM(J143:J150)</f>
        <v>0</v>
      </c>
      <c r="K152" s="68">
        <f t="shared" ref="K152:Q152" si="17">SUM(K142:K150)</f>
        <v>0</v>
      </c>
      <c r="L152" s="68">
        <f t="shared" si="17"/>
        <v>0</v>
      </c>
      <c r="M152" s="68">
        <f t="shared" si="17"/>
        <v>0</v>
      </c>
      <c r="N152" s="68">
        <f t="shared" si="17"/>
        <v>0</v>
      </c>
      <c r="O152" s="68">
        <f t="shared" si="17"/>
        <v>0</v>
      </c>
      <c r="P152" s="68">
        <f t="shared" si="17"/>
        <v>0</v>
      </c>
      <c r="Q152" s="68">
        <f t="shared" si="17"/>
        <v>0</v>
      </c>
      <c r="R152" s="69">
        <f>SUM(D152:E152:F152:G152:J152:K152:L152:M152:N152:O152:P152:Q152)</f>
        <v>130</v>
      </c>
    </row>
    <row r="153" spans="1:18" s="4" customFormat="1" ht="15.75" thickBot="1" x14ac:dyDescent="0.3">
      <c r="A153" s="43">
        <v>546</v>
      </c>
      <c r="B153" s="43"/>
      <c r="C153" s="43"/>
      <c r="D153" s="44">
        <f>D141*D152</f>
        <v>3510</v>
      </c>
      <c r="E153" s="44">
        <f>E141*E152</f>
        <v>0</v>
      </c>
      <c r="F153" s="44">
        <f>F141*F152</f>
        <v>0</v>
      </c>
      <c r="G153" s="44">
        <f>G141*G152</f>
        <v>0</v>
      </c>
      <c r="H153" s="44"/>
      <c r="I153" s="44"/>
      <c r="J153" s="44">
        <f t="shared" ref="J153:Q153" si="18">J141*J152</f>
        <v>0</v>
      </c>
      <c r="K153" s="44">
        <f t="shared" si="18"/>
        <v>0</v>
      </c>
      <c r="L153" s="44">
        <f t="shared" si="18"/>
        <v>0</v>
      </c>
      <c r="M153" s="44">
        <f t="shared" si="18"/>
        <v>0</v>
      </c>
      <c r="N153" s="44">
        <f t="shared" si="18"/>
        <v>0</v>
      </c>
      <c r="O153" s="44">
        <f t="shared" si="18"/>
        <v>0</v>
      </c>
      <c r="P153" s="44">
        <f t="shared" si="18"/>
        <v>0</v>
      </c>
      <c r="Q153" s="44">
        <f t="shared" si="18"/>
        <v>0</v>
      </c>
      <c r="R153" s="45">
        <f>SUM(D153:Q153)</f>
        <v>3510</v>
      </c>
    </row>
    <row r="156" spans="1:18" s="4" customFormat="1" ht="15.75" thickBot="1" x14ac:dyDescent="0.3">
      <c r="A156" s="1" t="s">
        <v>75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"/>
    </row>
    <row r="157" spans="1:18" s="4" customFormat="1" ht="15.75" thickBot="1" x14ac:dyDescent="0.3">
      <c r="A157" s="5" t="s">
        <v>1</v>
      </c>
      <c r="B157" s="5" t="s">
        <v>2</v>
      </c>
      <c r="C157" s="6" t="s">
        <v>3</v>
      </c>
      <c r="D157" s="46" t="s">
        <v>36</v>
      </c>
      <c r="E157" s="8" t="s">
        <v>5</v>
      </c>
      <c r="F157" s="8" t="s">
        <v>37</v>
      </c>
      <c r="G157" s="8" t="s">
        <v>7</v>
      </c>
      <c r="H157" s="8"/>
      <c r="I157" s="8"/>
      <c r="J157" s="10" t="s">
        <v>39</v>
      </c>
      <c r="K157" s="10" t="s">
        <v>11</v>
      </c>
      <c r="L157" s="10" t="s">
        <v>45</v>
      </c>
      <c r="M157" s="10" t="s">
        <v>13</v>
      </c>
      <c r="N157" s="11" t="s">
        <v>14</v>
      </c>
      <c r="O157" s="11" t="s">
        <v>41</v>
      </c>
      <c r="P157" s="11" t="s">
        <v>48</v>
      </c>
      <c r="Q157" s="11" t="s">
        <v>10</v>
      </c>
      <c r="R157" s="12" t="s">
        <v>17</v>
      </c>
    </row>
    <row r="158" spans="1:18" s="4" customFormat="1" ht="15.75" thickBot="1" x14ac:dyDescent="0.3">
      <c r="A158" s="13"/>
      <c r="B158" s="13"/>
      <c r="C158" s="47"/>
      <c r="D158" s="140">
        <v>27</v>
      </c>
      <c r="E158" s="71">
        <v>24.5</v>
      </c>
      <c r="F158" s="16">
        <v>27</v>
      </c>
      <c r="G158" s="71">
        <v>12.5</v>
      </c>
      <c r="H158" s="16"/>
      <c r="I158" s="16"/>
      <c r="J158" s="18">
        <v>19</v>
      </c>
      <c r="K158" s="18">
        <v>0</v>
      </c>
      <c r="L158" s="18"/>
      <c r="M158" s="18">
        <v>19.5</v>
      </c>
      <c r="N158" s="18">
        <v>0</v>
      </c>
      <c r="O158" s="19">
        <v>0</v>
      </c>
      <c r="P158" s="19">
        <v>0</v>
      </c>
      <c r="Q158" s="19">
        <v>27</v>
      </c>
      <c r="R158" s="20"/>
    </row>
    <row r="159" spans="1:18" s="4" customFormat="1" ht="15" customHeight="1" thickBot="1" x14ac:dyDescent="0.3">
      <c r="A159" s="27">
        <v>46269</v>
      </c>
      <c r="B159" s="108">
        <v>4368</v>
      </c>
      <c r="C159" s="23" t="s">
        <v>76</v>
      </c>
      <c r="D159" s="142">
        <v>13</v>
      </c>
      <c r="E159" s="143"/>
      <c r="F159" s="143">
        <v>8</v>
      </c>
      <c r="G159" s="143"/>
      <c r="H159" s="143"/>
      <c r="I159" s="143"/>
      <c r="J159" s="144"/>
      <c r="K159" s="144"/>
      <c r="L159" s="142"/>
      <c r="M159" s="142"/>
      <c r="N159" s="142"/>
      <c r="O159" s="142"/>
      <c r="P159" s="142"/>
      <c r="Q159" s="142"/>
      <c r="R159" s="28">
        <f>D158*D159+E158*E159+F158*F159+G158*G159+J158*J159+L158*L159+K158*K159+M158*M159+N158*N159+O158*O159+P158*P159+Q158*Q159</f>
        <v>567</v>
      </c>
    </row>
    <row r="160" spans="1:18" s="4" customFormat="1" ht="15.75" thickBot="1" x14ac:dyDescent="0.3">
      <c r="A160" s="27"/>
      <c r="B160" s="108"/>
      <c r="C160" s="105"/>
      <c r="D160" s="145"/>
      <c r="E160" s="143"/>
      <c r="F160" s="145"/>
      <c r="G160" s="143"/>
      <c r="H160" s="143"/>
      <c r="I160" s="143"/>
      <c r="J160" s="144"/>
      <c r="K160" s="144"/>
      <c r="L160" s="142"/>
      <c r="M160" s="142"/>
      <c r="N160" s="142"/>
      <c r="O160" s="142"/>
      <c r="P160" s="142"/>
      <c r="Q160" s="142"/>
      <c r="R160" s="28">
        <f>D158*D160+E158*E160+F158*F160+G158*G160+J158*J160+L158*L160+K158*K160+M158*M160+N158*N160+O158*O160+P158*P160+Q158*Q160</f>
        <v>0</v>
      </c>
    </row>
    <row r="161" spans="1:18" s="4" customFormat="1" ht="15.75" thickBot="1" x14ac:dyDescent="0.3">
      <c r="A161" s="27"/>
      <c r="B161" s="22"/>
      <c r="C161" s="23"/>
      <c r="D161" s="145"/>
      <c r="E161" s="145"/>
      <c r="F161" s="145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6"/>
      <c r="R161" s="134">
        <f>D158*D161+E158*E161+F158*F161+G158*G161+J158*J161+K158*K161+L158*L161+M158*M161+N158*N161+O158*O161+P158*P161+Q158*Q161</f>
        <v>0</v>
      </c>
    </row>
    <row r="162" spans="1:18" s="4" customFormat="1" ht="15.75" thickBot="1" x14ac:dyDescent="0.3">
      <c r="A162" s="27"/>
      <c r="B162" s="22"/>
      <c r="C162" s="23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6"/>
      <c r="R162" s="135">
        <f>D158*D162+E158*E162+F158*F162+G158*G162+J158*J162+K162*K158+L158*L162+M158*M162+N158*N162+O158*O162+P158*P162+Q158*Q162</f>
        <v>0</v>
      </c>
    </row>
    <row r="163" spans="1:18" s="4" customFormat="1" ht="15.75" thickBot="1" x14ac:dyDescent="0.3">
      <c r="A163" s="27"/>
      <c r="B163" s="141"/>
      <c r="C163" s="23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6"/>
      <c r="R163" s="135">
        <f>D158*D163+E158*E163+F158*F163+G158*G163+J158*J163+K158*K163+L158*L163+M158*M163+N158*N163+O158*O163+P158*P163+Q158*Q163</f>
        <v>0</v>
      </c>
    </row>
    <row r="164" spans="1:18" s="4" customFormat="1" ht="15.75" thickBot="1" x14ac:dyDescent="0.3">
      <c r="A164" s="27"/>
      <c r="B164" s="22"/>
      <c r="C164" s="23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6"/>
      <c r="R164" s="135">
        <f>D158*D164+E158*E164+F158*F164+G158*G164+J158*J164+K158*K164+L158*L164+M158*M164+N158*N164+O158*O164+P158*P164+Q158*Q164</f>
        <v>0</v>
      </c>
    </row>
    <row r="165" spans="1:18" s="4" customFormat="1" ht="15.75" thickBot="1" x14ac:dyDescent="0.3">
      <c r="A165" s="27"/>
      <c r="B165" s="22"/>
      <c r="C165" s="23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6"/>
      <c r="R165" s="135">
        <f>D158*D165+E158*E165+F158*F165+G158*G165+J158*J165+K158*K165+L158*L165+M158*M165+N158*N165+O158*O165+P158*P165+Q158*Q165</f>
        <v>0</v>
      </c>
    </row>
    <row r="166" spans="1:18" s="4" customFormat="1" ht="15.75" thickBot="1" x14ac:dyDescent="0.3">
      <c r="A166" s="27"/>
      <c r="B166" s="22"/>
      <c r="C166" s="23"/>
      <c r="D166" s="142"/>
      <c r="E166" s="147"/>
      <c r="F166" s="142"/>
      <c r="G166" s="147"/>
      <c r="H166" s="147"/>
      <c r="I166" s="147"/>
      <c r="J166" s="147"/>
      <c r="K166" s="147"/>
      <c r="L166" s="142"/>
      <c r="M166" s="142"/>
      <c r="N166" s="142"/>
      <c r="O166" s="142"/>
      <c r="P166" s="142"/>
      <c r="Q166" s="142"/>
      <c r="R166" s="135">
        <f>D158*D166+E158*E166+F158*F166+G158*G166+J158*J166+K158*K166+L158*L166+M158*M166+N158*N166+O158*O166+P158*P166+Q158*Q166</f>
        <v>0</v>
      </c>
    </row>
    <row r="167" spans="1:18" s="4" customFormat="1" ht="15.75" thickBot="1" x14ac:dyDescent="0.3">
      <c r="A167" s="27"/>
      <c r="B167" s="141"/>
      <c r="C167" s="23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35">
        <f>D158*D167+E158*E167+F158*F167+G158*G167+J158*J167+K158*K167+L158*L167+M158*M167+N158*N167+O158*O167+P158*P167+Q158*Q167</f>
        <v>0</v>
      </c>
    </row>
    <row r="168" spans="1:18" s="4" customFormat="1" ht="15.75" thickBot="1" x14ac:dyDescent="0.3">
      <c r="A168" s="34"/>
      <c r="B168" s="118"/>
      <c r="C168" s="34"/>
      <c r="D168" s="35"/>
      <c r="E168" s="35"/>
      <c r="F168" s="35"/>
      <c r="G168" s="35"/>
      <c r="H168" s="35"/>
      <c r="I168" s="35"/>
      <c r="J168" s="35"/>
      <c r="K168" s="35"/>
      <c r="L168" s="37"/>
      <c r="M168" s="37"/>
      <c r="N168" s="37"/>
      <c r="O168" s="38" t="s">
        <v>32</v>
      </c>
      <c r="P168" s="39"/>
      <c r="Q168" s="39"/>
      <c r="R168" s="67">
        <f>SUM(R159:R167)</f>
        <v>567</v>
      </c>
    </row>
    <row r="169" spans="1:18" s="4" customFormat="1" ht="15.75" thickBot="1" x14ac:dyDescent="0.3">
      <c r="A169" s="40" t="s">
        <v>33</v>
      </c>
      <c r="B169" s="40"/>
      <c r="C169" s="40"/>
      <c r="D169" s="68">
        <f>SUM(D159:D167)</f>
        <v>13</v>
      </c>
      <c r="E169" s="68">
        <f>SUM(E159:E167)</f>
        <v>0</v>
      </c>
      <c r="F169" s="68">
        <f>SUM(F159:F167)</f>
        <v>8</v>
      </c>
      <c r="G169" s="68">
        <f>SUM(G159:G167)</f>
        <v>0</v>
      </c>
      <c r="H169" s="68"/>
      <c r="I169" s="68"/>
      <c r="J169" s="68">
        <f t="shared" ref="J169:Q169" si="19">SUM(J159:J167)</f>
        <v>0</v>
      </c>
      <c r="K169" s="68">
        <f t="shared" si="19"/>
        <v>0</v>
      </c>
      <c r="L169" s="68">
        <f t="shared" si="19"/>
        <v>0</v>
      </c>
      <c r="M169" s="68">
        <f t="shared" si="19"/>
        <v>0</v>
      </c>
      <c r="N169" s="68">
        <f t="shared" si="19"/>
        <v>0</v>
      </c>
      <c r="O169" s="68">
        <f t="shared" si="19"/>
        <v>0</v>
      </c>
      <c r="P169" s="68">
        <f t="shared" si="19"/>
        <v>0</v>
      </c>
      <c r="Q169" s="68">
        <f t="shared" si="19"/>
        <v>0</v>
      </c>
      <c r="R169" s="69">
        <f>SUM(D169:E169:F169:G169:J169:K169:L169:M169:N169:O169:P169:Q169)</f>
        <v>21</v>
      </c>
    </row>
    <row r="170" spans="1:18" s="4" customFormat="1" ht="15.75" thickBot="1" x14ac:dyDescent="0.3">
      <c r="A170" s="43" t="s">
        <v>34</v>
      </c>
      <c r="B170" s="43"/>
      <c r="C170" s="43"/>
      <c r="D170" s="44">
        <f>D158*D169</f>
        <v>351</v>
      </c>
      <c r="E170" s="44">
        <f>E158*E169</f>
        <v>0</v>
      </c>
      <c r="F170" s="44">
        <f>F158*F169</f>
        <v>216</v>
      </c>
      <c r="G170" s="44">
        <f>G158*G169</f>
        <v>0</v>
      </c>
      <c r="H170" s="44"/>
      <c r="I170" s="44"/>
      <c r="J170" s="44">
        <f t="shared" ref="J170:Q170" si="20">J158*J169</f>
        <v>0</v>
      </c>
      <c r="K170" s="44">
        <f t="shared" si="20"/>
        <v>0</v>
      </c>
      <c r="L170" s="44">
        <f t="shared" si="20"/>
        <v>0</v>
      </c>
      <c r="M170" s="44">
        <f t="shared" si="20"/>
        <v>0</v>
      </c>
      <c r="N170" s="44">
        <f t="shared" si="20"/>
        <v>0</v>
      </c>
      <c r="O170" s="44">
        <f t="shared" si="20"/>
        <v>0</v>
      </c>
      <c r="P170" s="44">
        <f t="shared" si="20"/>
        <v>0</v>
      </c>
      <c r="Q170" s="44">
        <f t="shared" si="20"/>
        <v>0</v>
      </c>
      <c r="R170" s="45">
        <f>SUM(D170:Q170)</f>
        <v>567</v>
      </c>
    </row>
    <row r="173" spans="1:18" s="4" customFormat="1" ht="15.75" thickBot="1" x14ac:dyDescent="0.3">
      <c r="A173" s="1" t="s">
        <v>77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"/>
    </row>
    <row r="174" spans="1:18" s="4" customFormat="1" ht="15.75" thickBot="1" x14ac:dyDescent="0.3">
      <c r="A174" s="5" t="s">
        <v>1</v>
      </c>
      <c r="B174" s="5" t="s">
        <v>2</v>
      </c>
      <c r="C174" s="6" t="s">
        <v>3</v>
      </c>
      <c r="D174" s="46" t="s">
        <v>36</v>
      </c>
      <c r="E174" s="8" t="s">
        <v>5</v>
      </c>
      <c r="F174" s="8" t="s">
        <v>37</v>
      </c>
      <c r="G174" s="8" t="s">
        <v>7</v>
      </c>
      <c r="H174" s="8" t="s">
        <v>45</v>
      </c>
      <c r="I174" s="148" t="s">
        <v>47</v>
      </c>
      <c r="J174" s="8" t="s">
        <v>46</v>
      </c>
      <c r="K174" s="10" t="s">
        <v>38</v>
      </c>
      <c r="L174" s="10" t="s">
        <v>39</v>
      </c>
      <c r="M174" s="10" t="s">
        <v>13</v>
      </c>
      <c r="N174" s="11" t="s">
        <v>14</v>
      </c>
      <c r="O174" s="11" t="s">
        <v>48</v>
      </c>
      <c r="P174" s="11" t="s">
        <v>16</v>
      </c>
      <c r="Q174" s="11" t="s">
        <v>49</v>
      </c>
      <c r="R174" s="125" t="s">
        <v>17</v>
      </c>
    </row>
    <row r="175" spans="1:18" s="4" customFormat="1" ht="15.75" thickBot="1" x14ac:dyDescent="0.3">
      <c r="A175" s="13"/>
      <c r="B175" s="13"/>
      <c r="C175" s="70"/>
      <c r="D175" s="48">
        <v>24.5</v>
      </c>
      <c r="E175" s="16">
        <v>27</v>
      </c>
      <c r="F175" s="18">
        <v>24.5</v>
      </c>
      <c r="G175" s="16">
        <v>27</v>
      </c>
      <c r="H175" s="16">
        <v>27</v>
      </c>
      <c r="I175" s="71">
        <v>24.5</v>
      </c>
      <c r="J175" s="71">
        <v>0</v>
      </c>
      <c r="K175" s="18">
        <v>24.5</v>
      </c>
      <c r="L175" s="18">
        <v>20</v>
      </c>
      <c r="M175" s="18">
        <v>19.5</v>
      </c>
      <c r="N175" s="18">
        <v>26.5</v>
      </c>
      <c r="O175" s="19">
        <v>24</v>
      </c>
      <c r="P175" s="19">
        <v>17.5</v>
      </c>
      <c r="Q175" s="19">
        <v>24.5</v>
      </c>
      <c r="R175" s="127"/>
    </row>
    <row r="176" spans="1:18" s="4" customFormat="1" ht="15.75" thickBot="1" x14ac:dyDescent="0.3">
      <c r="A176" s="27"/>
      <c r="B176" s="74"/>
      <c r="C176" s="75"/>
      <c r="D176" s="52"/>
      <c r="E176" s="53"/>
      <c r="F176" s="52"/>
      <c r="G176" s="53"/>
      <c r="H176" s="53"/>
      <c r="I176" s="77"/>
      <c r="J176" s="52"/>
      <c r="K176" s="52"/>
      <c r="L176" s="78"/>
      <c r="M176" s="52"/>
      <c r="N176" s="52"/>
      <c r="O176" s="78"/>
      <c r="P176" s="52"/>
      <c r="Q176" s="52"/>
      <c r="R176" s="79">
        <f>D175*D176+E175*E176+F173*F175+G175*G176+J175*J176+K173*K176+L175*L176+M175*M176+N173*N176+O175*O176+P173*P176+Q175*Q176+H175*H176</f>
        <v>0</v>
      </c>
    </row>
    <row r="177" spans="1:19" s="4" customFormat="1" ht="15.75" thickBot="1" x14ac:dyDescent="0.3">
      <c r="A177" s="27"/>
      <c r="B177" s="22"/>
      <c r="C177" s="80"/>
      <c r="D177" s="52"/>
      <c r="E177" s="76"/>
      <c r="F177" s="52"/>
      <c r="G177" s="76"/>
      <c r="H177" s="77"/>
      <c r="I177" s="77"/>
      <c r="J177" s="52"/>
      <c r="K177" s="52"/>
      <c r="L177" s="52"/>
      <c r="M177" s="52"/>
      <c r="N177" s="52"/>
      <c r="O177" s="52"/>
      <c r="P177" s="52"/>
      <c r="Q177" s="52"/>
      <c r="R177" s="59">
        <f>D175*D177+E175*E177+F175*F177+G175*G177+J175*J177+L175*L177+K175*K177+M175*M177+N175*N177+O175*O177+P175*P177+Q175*Q177+H175*H177+I175*I177</f>
        <v>0</v>
      </c>
    </row>
    <row r="178" spans="1:19" s="4" customFormat="1" ht="15.75" thickBot="1" x14ac:dyDescent="0.3">
      <c r="A178" s="27"/>
      <c r="B178" s="22"/>
      <c r="C178" s="82"/>
      <c r="D178" s="52"/>
      <c r="E178" s="56"/>
      <c r="F178" s="56"/>
      <c r="G178" s="56"/>
      <c r="H178" s="56"/>
      <c r="I178" s="56"/>
      <c r="J178" s="52"/>
      <c r="K178" s="57"/>
      <c r="L178" s="52"/>
      <c r="M178" s="52"/>
      <c r="N178" s="52"/>
      <c r="O178" s="52"/>
      <c r="P178" s="52"/>
      <c r="Q178" s="52"/>
      <c r="R178" s="79">
        <f>D175*D178+E175*E178+F175*F178+G175*G178+J175*J178+K175*K178+L175*L178+M175*M178+N175*N178+O175*O178+P175*P178+Q175*Q178+H175*H178</f>
        <v>0</v>
      </c>
    </row>
    <row r="179" spans="1:19" s="4" customFormat="1" ht="15.75" thickBot="1" x14ac:dyDescent="0.3">
      <c r="A179" s="21"/>
      <c r="B179" s="22"/>
      <c r="C179" s="82"/>
      <c r="D179" s="56"/>
      <c r="E179" s="52"/>
      <c r="F179" s="52"/>
      <c r="G179" s="52"/>
      <c r="H179" s="56"/>
      <c r="I179" s="56"/>
      <c r="J179" s="52"/>
      <c r="K179" s="78"/>
      <c r="L179" s="52"/>
      <c r="M179" s="52"/>
      <c r="N179" s="52"/>
      <c r="O179" s="52"/>
      <c r="P179" s="52"/>
      <c r="Q179" s="52"/>
      <c r="R179" s="79">
        <f>D175*D179+E175*E179+F175*F179+G175*G179+J175*J179+K179*K175+L175*L179+M175*M179+N175*N179+O175*O179+P175*P179+Q175*Q179+H175*H179</f>
        <v>0</v>
      </c>
    </row>
    <row r="180" spans="1:19" s="4" customFormat="1" ht="15.75" thickBot="1" x14ac:dyDescent="0.3">
      <c r="A180" s="27"/>
      <c r="B180" s="22"/>
      <c r="C180" s="23"/>
      <c r="D180" s="52"/>
      <c r="E180" s="52"/>
      <c r="F180" s="52"/>
      <c r="G180" s="52"/>
      <c r="H180" s="56"/>
      <c r="I180" s="56"/>
      <c r="J180" s="52"/>
      <c r="K180" s="52"/>
      <c r="L180" s="52"/>
      <c r="M180" s="52"/>
      <c r="N180" s="52"/>
      <c r="O180" s="52"/>
      <c r="P180" s="52"/>
      <c r="Q180" s="52"/>
      <c r="R180" s="65">
        <f>D175*D180+E175*E180+F175*F180+G175*G180+J175*J180+K175*K180+L175*L180+M175*M180+N175*N180+O175*O180+P175*P180+Q175*Q180</f>
        <v>0</v>
      </c>
    </row>
    <row r="181" spans="1:19" s="4" customFormat="1" ht="15.75" thickBot="1" x14ac:dyDescent="0.3">
      <c r="A181" s="27"/>
      <c r="B181" s="22"/>
      <c r="C181" s="23"/>
      <c r="D181" s="52"/>
      <c r="E181" s="66"/>
      <c r="F181" s="66"/>
      <c r="G181" s="66"/>
      <c r="H181" s="84"/>
      <c r="I181" s="84"/>
      <c r="J181" s="66"/>
      <c r="K181" s="66"/>
      <c r="L181" s="52"/>
      <c r="M181" s="52"/>
      <c r="N181" s="52"/>
      <c r="O181" s="52"/>
      <c r="P181" s="52"/>
      <c r="Q181" s="52"/>
      <c r="R181" s="65">
        <f>D175*D181+E175*E181+F175*F181+G175*G181+J175*J181+K175*K181+L175*L181+M175*M181+N175*N181+O175*O181+P175*P181+Q175*Q181</f>
        <v>0</v>
      </c>
    </row>
    <row r="182" spans="1:19" s="4" customFormat="1" ht="15.75" thickBot="1" x14ac:dyDescent="0.3">
      <c r="A182" s="23"/>
      <c r="B182" s="85"/>
      <c r="C182" s="86"/>
      <c r="D182" s="52"/>
      <c r="E182" s="52"/>
      <c r="F182" s="52"/>
      <c r="G182" s="52"/>
      <c r="H182" s="52"/>
      <c r="I182" s="52"/>
      <c r="J182" s="52"/>
      <c r="K182" s="52"/>
      <c r="L182" s="87"/>
      <c r="M182" s="87"/>
      <c r="N182" s="87"/>
      <c r="O182" s="87"/>
      <c r="P182" s="87"/>
      <c r="Q182" s="61"/>
      <c r="R182" s="65">
        <f>D175*D182+E175*E182+F175*F182+G175*G182+J175*J182+K175*K182+L175*L182+M175*M182+N175*N182+O175*O182+P175*P182+Q175*Q182</f>
        <v>0</v>
      </c>
    </row>
    <row r="183" spans="1:19" s="4" customFormat="1" ht="15.75" thickBot="1" x14ac:dyDescent="0.3">
      <c r="A183" s="88"/>
      <c r="B183" s="89"/>
      <c r="C183" s="34"/>
      <c r="D183" s="35"/>
      <c r="E183" s="35"/>
      <c r="F183" s="35"/>
      <c r="G183" s="35"/>
      <c r="H183" s="35"/>
      <c r="I183" s="35"/>
      <c r="J183" s="35"/>
      <c r="K183" s="35"/>
      <c r="L183" s="90"/>
      <c r="M183" s="90"/>
      <c r="N183" s="90"/>
      <c r="O183" s="91" t="s">
        <v>32</v>
      </c>
      <c r="P183" s="92"/>
      <c r="Q183" s="39"/>
      <c r="R183" s="67">
        <f>SUM(R176:R182)</f>
        <v>0</v>
      </c>
    </row>
    <row r="184" spans="1:19" s="4" customFormat="1" ht="15.75" thickBot="1" x14ac:dyDescent="0.3">
      <c r="A184" s="40" t="s">
        <v>33</v>
      </c>
      <c r="B184" s="40"/>
      <c r="C184" s="40"/>
      <c r="D184" s="41">
        <f>SUM(D176:D182)</f>
        <v>0</v>
      </c>
      <c r="E184" s="41">
        <f>SUM(E176:E182)</f>
        <v>0</v>
      </c>
      <c r="F184" s="41">
        <f>SUM(F176:F182)</f>
        <v>0</v>
      </c>
      <c r="G184" s="41">
        <f>SUM(G176:G182)</f>
        <v>0</v>
      </c>
      <c r="H184" s="41">
        <f>SUM(H176:H182)</f>
        <v>0</v>
      </c>
      <c r="I184" s="41"/>
      <c r="J184" s="41">
        <f t="shared" ref="J184:Q184" si="21">SUM(J176:J182)</f>
        <v>0</v>
      </c>
      <c r="K184" s="41">
        <f t="shared" si="21"/>
        <v>0</v>
      </c>
      <c r="L184" s="41">
        <f t="shared" si="21"/>
        <v>0</v>
      </c>
      <c r="M184" s="41">
        <f t="shared" si="21"/>
        <v>0</v>
      </c>
      <c r="N184" s="41">
        <f t="shared" si="21"/>
        <v>0</v>
      </c>
      <c r="O184" s="41">
        <f t="shared" si="21"/>
        <v>0</v>
      </c>
      <c r="P184" s="41">
        <f t="shared" si="21"/>
        <v>0</v>
      </c>
      <c r="Q184" s="41">
        <f t="shared" si="21"/>
        <v>0</v>
      </c>
      <c r="R184" s="69">
        <f>SUM(D184:E184:F184:G184:J184:K184:L184:M184:N184:O184:P184:Q184)</f>
        <v>0</v>
      </c>
    </row>
    <row r="185" spans="1:19" s="4" customFormat="1" ht="15.75" thickBot="1" x14ac:dyDescent="0.3">
      <c r="A185" s="43" t="s">
        <v>34</v>
      </c>
      <c r="B185" s="43"/>
      <c r="C185" s="43"/>
      <c r="D185" s="44">
        <f>D175*D184</f>
        <v>0</v>
      </c>
      <c r="E185" s="44">
        <f>E175*E184</f>
        <v>0</v>
      </c>
      <c r="F185" s="44">
        <f>F175*F184</f>
        <v>0</v>
      </c>
      <c r="G185" s="44">
        <f>G175*G184</f>
        <v>0</v>
      </c>
      <c r="H185" s="44">
        <f>H175*H184</f>
        <v>0</v>
      </c>
      <c r="I185" s="44"/>
      <c r="J185" s="44">
        <f t="shared" ref="J185:Q185" si="22">J175*J184</f>
        <v>0</v>
      </c>
      <c r="K185" s="44">
        <f t="shared" si="22"/>
        <v>0</v>
      </c>
      <c r="L185" s="44">
        <f t="shared" si="22"/>
        <v>0</v>
      </c>
      <c r="M185" s="44">
        <f t="shared" si="22"/>
        <v>0</v>
      </c>
      <c r="N185" s="44">
        <f t="shared" si="22"/>
        <v>0</v>
      </c>
      <c r="O185" s="44">
        <f t="shared" si="22"/>
        <v>0</v>
      </c>
      <c r="P185" s="44">
        <f t="shared" si="22"/>
        <v>0</v>
      </c>
      <c r="Q185" s="44">
        <f t="shared" si="22"/>
        <v>0</v>
      </c>
      <c r="R185" s="45">
        <f>SUM(D185:Q185)</f>
        <v>0</v>
      </c>
    </row>
    <row r="188" spans="1:19" s="4" customFormat="1" ht="15.75" thickBot="1" x14ac:dyDescent="0.3">
      <c r="A188" s="1" t="s">
        <v>78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"/>
    </row>
    <row r="189" spans="1:19" s="4" customFormat="1" ht="15.75" thickBot="1" x14ac:dyDescent="0.3">
      <c r="A189" s="5" t="s">
        <v>1</v>
      </c>
      <c r="B189" s="5" t="s">
        <v>2</v>
      </c>
      <c r="C189" s="6" t="s">
        <v>3</v>
      </c>
      <c r="D189" s="46" t="s">
        <v>36</v>
      </c>
      <c r="E189" s="8" t="s">
        <v>5</v>
      </c>
      <c r="F189" s="8" t="s">
        <v>37</v>
      </c>
      <c r="G189" s="8" t="s">
        <v>7</v>
      </c>
      <c r="H189" s="8" t="s">
        <v>45</v>
      </c>
      <c r="I189" s="148" t="s">
        <v>57</v>
      </c>
      <c r="J189" s="8" t="s">
        <v>10</v>
      </c>
      <c r="K189" s="10" t="s">
        <v>10</v>
      </c>
      <c r="L189" s="10" t="s">
        <v>39</v>
      </c>
      <c r="M189" s="10" t="s">
        <v>13</v>
      </c>
      <c r="N189" s="11" t="s">
        <v>14</v>
      </c>
      <c r="O189" s="11" t="s">
        <v>48</v>
      </c>
      <c r="P189" s="11" t="s">
        <v>16</v>
      </c>
      <c r="Q189" s="11" t="s">
        <v>49</v>
      </c>
      <c r="R189" s="12" t="s">
        <v>17</v>
      </c>
    </row>
    <row r="190" spans="1:19" s="4" customFormat="1" ht="15.75" thickBot="1" x14ac:dyDescent="0.3">
      <c r="A190" s="13"/>
      <c r="B190" s="13"/>
      <c r="C190" s="70"/>
      <c r="D190" s="48">
        <v>24.5</v>
      </c>
      <c r="E190" s="16">
        <v>27</v>
      </c>
      <c r="F190" s="18">
        <v>24.5</v>
      </c>
      <c r="G190" s="16">
        <v>27</v>
      </c>
      <c r="H190" s="71">
        <v>24.5</v>
      </c>
      <c r="I190" s="16">
        <v>27</v>
      </c>
      <c r="J190" s="71">
        <v>24.5</v>
      </c>
      <c r="K190" s="16">
        <v>27</v>
      </c>
      <c r="L190" s="18">
        <v>22</v>
      </c>
      <c r="M190" s="16">
        <v>22</v>
      </c>
      <c r="N190" s="18">
        <v>26.5</v>
      </c>
      <c r="O190" s="19">
        <v>29</v>
      </c>
      <c r="P190" s="19">
        <v>17.5</v>
      </c>
      <c r="Q190" s="72">
        <v>27</v>
      </c>
      <c r="R190" s="20"/>
      <c r="S190" s="149">
        <f>R200+R401+R432</f>
        <v>16939.5</v>
      </c>
    </row>
    <row r="191" spans="1:19" s="4" customFormat="1" ht="15.75" thickBot="1" x14ac:dyDescent="0.3">
      <c r="A191" s="21">
        <v>46266</v>
      </c>
      <c r="B191" s="74">
        <v>6746</v>
      </c>
      <c r="C191" s="75"/>
      <c r="D191" s="52"/>
      <c r="E191" s="53">
        <v>21</v>
      </c>
      <c r="F191" s="52"/>
      <c r="G191" s="53"/>
      <c r="H191" s="77"/>
      <c r="I191" s="150">
        <v>10</v>
      </c>
      <c r="J191" s="53"/>
      <c r="K191" s="53">
        <v>18</v>
      </c>
      <c r="L191" s="78"/>
      <c r="M191" s="53"/>
      <c r="N191" s="52"/>
      <c r="O191" s="78"/>
      <c r="P191" s="52"/>
      <c r="Q191" s="52">
        <v>14</v>
      </c>
      <c r="R191" s="79">
        <f>D190*D191+E190*E191+F190*F191+G190*G191+J190*J191+K190*K191+L190*L191+M190*M191+N188*N191+O190*O191+P188*P191+Q190*Q191+H190*H191+I190*I191</f>
        <v>1701</v>
      </c>
    </row>
    <row r="192" spans="1:19" s="4" customFormat="1" ht="15.75" thickBot="1" x14ac:dyDescent="0.3">
      <c r="A192" s="21">
        <v>46268</v>
      </c>
      <c r="B192" s="22">
        <v>2347</v>
      </c>
      <c r="C192" s="80"/>
      <c r="D192" s="52"/>
      <c r="E192" s="53">
        <v>15</v>
      </c>
      <c r="F192" s="52"/>
      <c r="G192" s="53"/>
      <c r="H192" s="77"/>
      <c r="I192" s="53"/>
      <c r="J192" s="52"/>
      <c r="K192" s="52"/>
      <c r="L192" s="52"/>
      <c r="M192" s="53">
        <v>20</v>
      </c>
      <c r="N192" s="52"/>
      <c r="O192" s="52"/>
      <c r="P192" s="52"/>
      <c r="Q192" s="52"/>
      <c r="R192" s="59">
        <f>D190*D192+E190*E192+F190*F192+G190*G192+J190*J192+L190*L192+K190*K192+M190*M192+N190*N192+O190*O192+P190*P192+Q190*Q192+H190*H192+I190*I192</f>
        <v>845</v>
      </c>
    </row>
    <row r="193" spans="1:19" s="4" customFormat="1" ht="15.75" thickBot="1" x14ac:dyDescent="0.3">
      <c r="A193" s="27">
        <v>46270</v>
      </c>
      <c r="B193" s="22" t="s">
        <v>79</v>
      </c>
      <c r="C193" s="82"/>
      <c r="D193" s="52"/>
      <c r="E193" s="53">
        <v>21</v>
      </c>
      <c r="F193" s="53"/>
      <c r="G193" s="53">
        <v>10</v>
      </c>
      <c r="H193" s="53"/>
      <c r="I193" s="53">
        <v>12</v>
      </c>
      <c r="J193" s="53"/>
      <c r="K193" s="53">
        <v>18</v>
      </c>
      <c r="L193" s="53">
        <v>20</v>
      </c>
      <c r="M193" s="53"/>
      <c r="N193" s="53"/>
      <c r="O193" s="53">
        <v>30</v>
      </c>
      <c r="P193" s="53"/>
      <c r="Q193" s="53"/>
      <c r="R193" s="79">
        <f>D190*D193+E190*E193+F190*F193+G190*G193+J190*J193+K190*K193+L190*L193+M190*M193+N190*N193+O190*O193+P190*P193+Q190*Q193+H190*H193+I190*I193</f>
        <v>2957</v>
      </c>
    </row>
    <row r="194" spans="1:19" s="4" customFormat="1" ht="15.75" thickBot="1" x14ac:dyDescent="0.3">
      <c r="A194" s="21"/>
      <c r="B194" s="22"/>
      <c r="C194" s="82"/>
      <c r="D194" s="56"/>
      <c r="E194" s="52"/>
      <c r="F194" s="52"/>
      <c r="G194" s="52"/>
      <c r="H194" s="56"/>
      <c r="I194" s="56"/>
      <c r="J194" s="52"/>
      <c r="K194" s="78"/>
      <c r="L194" s="52"/>
      <c r="M194" s="52"/>
      <c r="N194" s="52"/>
      <c r="O194" s="52"/>
      <c r="P194" s="52"/>
      <c r="Q194" s="52"/>
      <c r="R194" s="79">
        <f>D191*D194+E191*E194+F191*F194+G191*G194+J191*J194+K191*K194+L191*L194+M191*M194+N191*N194+O191*O194+P191*P194+Q190*Q194+H191*H194+I191*I194</f>
        <v>0</v>
      </c>
    </row>
    <row r="195" spans="1:19" s="4" customFormat="1" ht="15.75" thickBot="1" x14ac:dyDescent="0.3">
      <c r="A195" s="27"/>
      <c r="B195" s="22"/>
      <c r="C195" s="23"/>
      <c r="D195" s="52"/>
      <c r="E195" s="52"/>
      <c r="F195" s="52"/>
      <c r="G195" s="52"/>
      <c r="H195" s="56"/>
      <c r="I195" s="56"/>
      <c r="J195" s="52"/>
      <c r="K195" s="52"/>
      <c r="L195" s="52"/>
      <c r="M195" s="52"/>
      <c r="N195" s="52"/>
      <c r="O195" s="52"/>
      <c r="P195" s="52"/>
      <c r="Q195" s="52"/>
      <c r="R195" s="65">
        <f>D190*D195+E190*E195+F190*F195+G190*G195+J190*J195+K190*K195+L190*L195+M190*M195+N190*N195+O190*O195+P190*P195+Q190*Q195</f>
        <v>0</v>
      </c>
    </row>
    <row r="196" spans="1:19" s="4" customFormat="1" ht="15.75" thickBot="1" x14ac:dyDescent="0.3">
      <c r="A196" s="27"/>
      <c r="B196" s="22"/>
      <c r="C196" s="23"/>
      <c r="D196" s="52"/>
      <c r="E196" s="66"/>
      <c r="F196" s="66"/>
      <c r="G196" s="66"/>
      <c r="H196" s="84"/>
      <c r="I196" s="84"/>
      <c r="J196" s="66"/>
      <c r="K196" s="66"/>
      <c r="L196" s="52"/>
      <c r="M196" s="52"/>
      <c r="N196" s="52"/>
      <c r="O196" s="52"/>
      <c r="P196" s="52"/>
      <c r="Q196" s="52"/>
      <c r="R196" s="65">
        <f>D190*D196+E190*E196+F190*F196+G190*G196+J190*J196+K190*K196+L190*L196+M190*M196+N190*N196+O190*O196+P190*P196+Q190*Q196</f>
        <v>0</v>
      </c>
    </row>
    <row r="197" spans="1:19" s="4" customFormat="1" ht="15.75" thickBot="1" x14ac:dyDescent="0.3">
      <c r="A197" s="23"/>
      <c r="B197" s="85"/>
      <c r="C197" s="86"/>
      <c r="D197" s="52"/>
      <c r="E197" s="52"/>
      <c r="F197" s="52"/>
      <c r="G197" s="52"/>
      <c r="H197" s="52"/>
      <c r="I197" s="52"/>
      <c r="J197" s="52"/>
      <c r="K197" s="52"/>
      <c r="L197" s="87"/>
      <c r="M197" s="87"/>
      <c r="N197" s="87"/>
      <c r="O197" s="87"/>
      <c r="P197" s="87"/>
      <c r="Q197" s="61"/>
      <c r="R197" s="65">
        <f>D190*D197+E190*E197+F190*F197+G190*G197+J190*J197+K190*K197+L190*L197+M190*M197+N190*N197+O190*O197+P190*P197+Q190*Q197</f>
        <v>0</v>
      </c>
    </row>
    <row r="198" spans="1:19" s="4" customFormat="1" ht="15.75" thickBot="1" x14ac:dyDescent="0.3">
      <c r="A198" s="88"/>
      <c r="B198" s="89"/>
      <c r="C198" s="34"/>
      <c r="D198" s="35"/>
      <c r="E198" s="35"/>
      <c r="F198" s="35"/>
      <c r="G198" s="35"/>
      <c r="H198" s="35"/>
      <c r="I198" s="35"/>
      <c r="J198" s="35"/>
      <c r="K198" s="35"/>
      <c r="L198" s="90"/>
      <c r="M198" s="90"/>
      <c r="N198" s="90"/>
      <c r="O198" s="91" t="s">
        <v>32</v>
      </c>
      <c r="P198" s="92"/>
      <c r="Q198" s="39"/>
      <c r="R198" s="67">
        <f>SUM(R191:R197)</f>
        <v>5503</v>
      </c>
    </row>
    <row r="199" spans="1:19" s="4" customFormat="1" ht="15.75" thickBot="1" x14ac:dyDescent="0.3">
      <c r="A199" s="40" t="s">
        <v>33</v>
      </c>
      <c r="B199" s="40"/>
      <c r="C199" s="40"/>
      <c r="D199" s="41">
        <f t="shared" ref="D199:Q199" si="23">SUM(D191:D197)</f>
        <v>0</v>
      </c>
      <c r="E199" s="41">
        <f t="shared" si="23"/>
        <v>57</v>
      </c>
      <c r="F199" s="41">
        <f t="shared" si="23"/>
        <v>0</v>
      </c>
      <c r="G199" s="41">
        <f t="shared" si="23"/>
        <v>10</v>
      </c>
      <c r="H199" s="41">
        <f t="shared" si="23"/>
        <v>0</v>
      </c>
      <c r="I199" s="41">
        <f t="shared" si="23"/>
        <v>22</v>
      </c>
      <c r="J199" s="41">
        <f t="shared" si="23"/>
        <v>0</v>
      </c>
      <c r="K199" s="41">
        <f t="shared" si="23"/>
        <v>36</v>
      </c>
      <c r="L199" s="41">
        <f t="shared" si="23"/>
        <v>20</v>
      </c>
      <c r="M199" s="41">
        <f t="shared" si="23"/>
        <v>20</v>
      </c>
      <c r="N199" s="41">
        <f t="shared" si="23"/>
        <v>0</v>
      </c>
      <c r="O199" s="41">
        <f t="shared" si="23"/>
        <v>30</v>
      </c>
      <c r="P199" s="41">
        <f t="shared" si="23"/>
        <v>0</v>
      </c>
      <c r="Q199" s="41">
        <f t="shared" si="23"/>
        <v>14</v>
      </c>
      <c r="R199" s="69">
        <f>SUM(D199:E199:F199:G199:J199:K199:L199:M199:N199:O199:P199:Q199)</f>
        <v>209</v>
      </c>
    </row>
    <row r="200" spans="1:19" s="4" customFormat="1" ht="15.75" thickBot="1" x14ac:dyDescent="0.3">
      <c r="A200" s="43" t="s">
        <v>34</v>
      </c>
      <c r="B200" s="43"/>
      <c r="C200" s="43"/>
      <c r="D200" s="44">
        <f t="shared" ref="D200:Q200" si="24">D190*D199</f>
        <v>0</v>
      </c>
      <c r="E200" s="44">
        <f t="shared" si="24"/>
        <v>1539</v>
      </c>
      <c r="F200" s="44">
        <f t="shared" si="24"/>
        <v>0</v>
      </c>
      <c r="G200" s="44">
        <f t="shared" si="24"/>
        <v>270</v>
      </c>
      <c r="H200" s="44">
        <f t="shared" si="24"/>
        <v>0</v>
      </c>
      <c r="I200" s="44">
        <f t="shared" si="24"/>
        <v>594</v>
      </c>
      <c r="J200" s="44">
        <f t="shared" si="24"/>
        <v>0</v>
      </c>
      <c r="K200" s="44">
        <f t="shared" si="24"/>
        <v>972</v>
      </c>
      <c r="L200" s="44">
        <f t="shared" si="24"/>
        <v>440</v>
      </c>
      <c r="M200" s="44">
        <f t="shared" si="24"/>
        <v>440</v>
      </c>
      <c r="N200" s="44">
        <f t="shared" si="24"/>
        <v>0</v>
      </c>
      <c r="O200" s="44">
        <f t="shared" si="24"/>
        <v>870</v>
      </c>
      <c r="P200" s="44">
        <f t="shared" si="24"/>
        <v>0</v>
      </c>
      <c r="Q200" s="44">
        <f t="shared" si="24"/>
        <v>378</v>
      </c>
      <c r="R200" s="45">
        <f>SUM(D200:Q200)</f>
        <v>5503</v>
      </c>
    </row>
    <row r="203" spans="1:19" s="4" customFormat="1" ht="15.75" thickBot="1" x14ac:dyDescent="0.3">
      <c r="A203" s="1" t="s">
        <v>80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3"/>
    </row>
    <row r="204" spans="1:19" s="4" customFormat="1" ht="15.75" thickBot="1" x14ac:dyDescent="0.3">
      <c r="A204" s="5" t="s">
        <v>1</v>
      </c>
      <c r="B204" s="5" t="s">
        <v>2</v>
      </c>
      <c r="C204" s="6" t="s">
        <v>3</v>
      </c>
      <c r="D204" s="46" t="s">
        <v>36</v>
      </c>
      <c r="E204" s="8" t="s">
        <v>5</v>
      </c>
      <c r="F204" s="8" t="s">
        <v>37</v>
      </c>
      <c r="G204" s="8" t="s">
        <v>7</v>
      </c>
      <c r="H204" s="8" t="s">
        <v>45</v>
      </c>
      <c r="I204" s="148" t="s">
        <v>57</v>
      </c>
      <c r="J204" s="8" t="s">
        <v>46</v>
      </c>
      <c r="K204" s="10" t="s">
        <v>38</v>
      </c>
      <c r="L204" s="10" t="s">
        <v>39</v>
      </c>
      <c r="M204" s="10" t="s">
        <v>13</v>
      </c>
      <c r="N204" s="11" t="s">
        <v>14</v>
      </c>
      <c r="O204" s="11" t="s">
        <v>48</v>
      </c>
      <c r="P204" s="11" t="s">
        <v>16</v>
      </c>
      <c r="Q204" s="11" t="s">
        <v>49</v>
      </c>
      <c r="R204" s="151" t="s">
        <v>17</v>
      </c>
    </row>
    <row r="205" spans="1:19" s="4" customFormat="1" ht="15.75" thickBot="1" x14ac:dyDescent="0.3">
      <c r="A205" s="13"/>
      <c r="B205" s="13"/>
      <c r="C205" s="70"/>
      <c r="D205" s="48">
        <v>24.5</v>
      </c>
      <c r="E205" s="16">
        <v>27</v>
      </c>
      <c r="F205" s="18">
        <v>24.5</v>
      </c>
      <c r="G205" s="16">
        <v>27</v>
      </c>
      <c r="H205" s="71">
        <v>24.5</v>
      </c>
      <c r="I205" s="16">
        <v>27</v>
      </c>
      <c r="J205" s="71">
        <v>0</v>
      </c>
      <c r="K205" s="18">
        <v>24.5</v>
      </c>
      <c r="L205" s="18">
        <v>20</v>
      </c>
      <c r="M205" s="16">
        <v>22</v>
      </c>
      <c r="N205" s="18">
        <v>26.5</v>
      </c>
      <c r="O205" s="19">
        <v>24</v>
      </c>
      <c r="P205" s="19">
        <v>17.5</v>
      </c>
      <c r="Q205" s="19">
        <v>24.5</v>
      </c>
      <c r="R205" s="152"/>
      <c r="S205" s="100">
        <f>R215+R230</f>
        <v>10678</v>
      </c>
    </row>
    <row r="206" spans="1:19" s="4" customFormat="1" ht="15.75" thickBot="1" x14ac:dyDescent="0.3">
      <c r="A206" s="21">
        <v>46266</v>
      </c>
      <c r="B206" s="74">
        <v>6745</v>
      </c>
      <c r="C206" s="75"/>
      <c r="D206" s="52"/>
      <c r="E206" s="53">
        <v>42</v>
      </c>
      <c r="F206" s="52"/>
      <c r="G206" s="53">
        <v>21</v>
      </c>
      <c r="H206" s="77"/>
      <c r="I206" s="77">
        <v>10</v>
      </c>
      <c r="J206" s="52"/>
      <c r="K206" s="52"/>
      <c r="L206" s="78"/>
      <c r="M206" s="53"/>
      <c r="N206" s="52"/>
      <c r="O206" s="78"/>
      <c r="P206" s="52"/>
      <c r="Q206" s="52"/>
      <c r="R206" s="134">
        <f>D205*D206+E205*E206+F205*F206+G205*G206+J205*J206+K205*K206+L205*L206+M205*M206+N203*N206+O205*O206+P203*P206+Q205*Q206+H205*H206+I205*I206</f>
        <v>1971</v>
      </c>
    </row>
    <row r="207" spans="1:19" s="4" customFormat="1" ht="15.75" thickBot="1" x14ac:dyDescent="0.3">
      <c r="A207" s="27">
        <v>46268</v>
      </c>
      <c r="B207" s="22">
        <v>2346</v>
      </c>
      <c r="C207" s="80"/>
      <c r="D207" s="52"/>
      <c r="E207" s="53">
        <v>21</v>
      </c>
      <c r="F207" s="52"/>
      <c r="G207" s="53"/>
      <c r="H207" s="56"/>
      <c r="I207" s="53"/>
      <c r="J207" s="52"/>
      <c r="K207" s="52"/>
      <c r="L207" s="52"/>
      <c r="M207" s="53">
        <v>10</v>
      </c>
      <c r="N207" s="52"/>
      <c r="O207" s="52"/>
      <c r="P207" s="52"/>
      <c r="Q207" s="52"/>
      <c r="R207" s="28">
        <f>D205*D207+E205*E207+F205*F207+G205*G207+J205*J207+L205*L207+K205*K207+M205*M207+N205*N207+O205*O207+P205*P207+Q205*Q207+H205*H207+I205*I207</f>
        <v>787</v>
      </c>
    </row>
    <row r="208" spans="1:19" s="4" customFormat="1" ht="15.75" thickBot="1" x14ac:dyDescent="0.3">
      <c r="A208" s="27">
        <v>46270</v>
      </c>
      <c r="B208" s="22" t="s">
        <v>81</v>
      </c>
      <c r="C208" s="82"/>
      <c r="D208" s="52"/>
      <c r="E208" s="53">
        <v>21</v>
      </c>
      <c r="F208" s="56"/>
      <c r="G208" s="56"/>
      <c r="H208" s="56"/>
      <c r="I208" s="56">
        <v>8</v>
      </c>
      <c r="J208" s="52"/>
      <c r="K208" s="57"/>
      <c r="L208" s="52"/>
      <c r="M208" s="52"/>
      <c r="N208" s="52"/>
      <c r="O208" s="52"/>
      <c r="P208" s="52"/>
      <c r="Q208" s="52"/>
      <c r="R208" s="134">
        <f>D207*D208+E205*E208+F207*F208+G205*G208+J207*J208+K207*K208+L207*L208+M207*M208+N205*N208+O207*O208+P205*P208+Q207*Q208+H207*H208+I205*I208</f>
        <v>783</v>
      </c>
    </row>
    <row r="209" spans="1:18" s="4" customFormat="1" ht="15.75" thickBot="1" x14ac:dyDescent="0.3">
      <c r="A209" s="21"/>
      <c r="B209" s="22"/>
      <c r="C209" s="82"/>
      <c r="D209" s="56"/>
      <c r="E209" s="52"/>
      <c r="F209" s="52"/>
      <c r="G209" s="52"/>
      <c r="H209" s="56"/>
      <c r="I209" s="56"/>
      <c r="J209" s="52"/>
      <c r="K209" s="78"/>
      <c r="L209" s="52"/>
      <c r="M209" s="52"/>
      <c r="N209" s="52"/>
      <c r="O209" s="52"/>
      <c r="P209" s="52"/>
      <c r="Q209" s="52"/>
      <c r="R209" s="134">
        <f>D206*D209+E206*E209+F206*F209+G206*G209+J206*J209+K206*K209+L206*L209+M206*M209+N206*N209+O206*O209+P206*P209+Q206*Q209+H206*H209</f>
        <v>0</v>
      </c>
    </row>
    <row r="210" spans="1:18" s="4" customFormat="1" ht="15.75" thickBot="1" x14ac:dyDescent="0.3">
      <c r="A210" s="27"/>
      <c r="B210" s="22"/>
      <c r="C210" s="23"/>
      <c r="D210" s="52"/>
      <c r="E210" s="52"/>
      <c r="F210" s="52"/>
      <c r="G210" s="52"/>
      <c r="H210" s="56"/>
      <c r="I210" s="56"/>
      <c r="J210" s="52"/>
      <c r="K210" s="52"/>
      <c r="L210" s="52"/>
      <c r="M210" s="52"/>
      <c r="N210" s="52"/>
      <c r="O210" s="52"/>
      <c r="P210" s="52"/>
      <c r="Q210" s="52"/>
      <c r="R210" s="135">
        <f>D205*D210+E205*E210+F205*F210+G205*G210+J205*J210+K205*K210+L205*L210+M205*M210+N205*N210+O205*O210+P205*P210+Q205*Q210</f>
        <v>0</v>
      </c>
    </row>
    <row r="211" spans="1:18" s="4" customFormat="1" ht="15.75" thickBot="1" x14ac:dyDescent="0.3">
      <c r="A211" s="27"/>
      <c r="B211" s="22"/>
      <c r="C211" s="23"/>
      <c r="D211" s="52"/>
      <c r="E211" s="66"/>
      <c r="F211" s="66"/>
      <c r="G211" s="66"/>
      <c r="H211" s="84"/>
      <c r="I211" s="84"/>
      <c r="J211" s="66"/>
      <c r="K211" s="66"/>
      <c r="L211" s="52"/>
      <c r="M211" s="52"/>
      <c r="N211" s="52"/>
      <c r="O211" s="52"/>
      <c r="P211" s="52"/>
      <c r="Q211" s="52"/>
      <c r="R211" s="135">
        <f>D205*D211+E205*E211+F205*F211+G205*G211+J205*J211+K205*K211+L205*L211+M205*M211+N205*N211+O205*O211+P205*P211+Q205*Q211</f>
        <v>0</v>
      </c>
    </row>
    <row r="212" spans="1:18" s="4" customFormat="1" ht="15.75" thickBot="1" x14ac:dyDescent="0.3">
      <c r="A212" s="23"/>
      <c r="B212" s="85"/>
      <c r="C212" s="86"/>
      <c r="D212" s="52"/>
      <c r="E212" s="52"/>
      <c r="F212" s="52"/>
      <c r="G212" s="52"/>
      <c r="H212" s="52"/>
      <c r="I212" s="52"/>
      <c r="J212" s="52"/>
      <c r="K212" s="52"/>
      <c r="L212" s="87"/>
      <c r="M212" s="87"/>
      <c r="N212" s="87"/>
      <c r="O212" s="87"/>
      <c r="P212" s="87"/>
      <c r="Q212" s="61"/>
      <c r="R212" s="135">
        <f>D205*D212+E205*E212+F205*F212+G205*G212+J205*J212+K205*K212+L205*L212+M205*M212+N205*N212+O205*O212+P205*P212+Q205*Q212</f>
        <v>0</v>
      </c>
    </row>
    <row r="213" spans="1:18" s="4" customFormat="1" ht="15.75" thickBot="1" x14ac:dyDescent="0.3">
      <c r="A213" s="88"/>
      <c r="B213" s="89"/>
      <c r="C213" s="34"/>
      <c r="D213" s="35"/>
      <c r="E213" s="35"/>
      <c r="F213" s="35"/>
      <c r="G213" s="35"/>
      <c r="H213" s="35"/>
      <c r="I213" s="35"/>
      <c r="J213" s="35"/>
      <c r="K213" s="35"/>
      <c r="L213" s="90"/>
      <c r="M213" s="90"/>
      <c r="N213" s="90"/>
      <c r="O213" s="91" t="s">
        <v>32</v>
      </c>
      <c r="P213" s="92"/>
      <c r="Q213" s="39"/>
      <c r="R213" s="67">
        <f>SUM(R206:R212)</f>
        <v>3541</v>
      </c>
    </row>
    <row r="214" spans="1:18" s="4" customFormat="1" ht="15.75" thickBot="1" x14ac:dyDescent="0.3">
      <c r="A214" s="40" t="s">
        <v>33</v>
      </c>
      <c r="B214" s="40"/>
      <c r="C214" s="40"/>
      <c r="D214" s="41">
        <f t="shared" ref="D214:Q214" si="25">SUM(D206:D212)</f>
        <v>0</v>
      </c>
      <c r="E214" s="41">
        <f t="shared" si="25"/>
        <v>84</v>
      </c>
      <c r="F214" s="41">
        <f t="shared" si="25"/>
        <v>0</v>
      </c>
      <c r="G214" s="41">
        <f t="shared" si="25"/>
        <v>21</v>
      </c>
      <c r="H214" s="41">
        <f t="shared" si="25"/>
        <v>0</v>
      </c>
      <c r="I214" s="41">
        <f t="shared" si="25"/>
        <v>18</v>
      </c>
      <c r="J214" s="41">
        <f t="shared" si="25"/>
        <v>0</v>
      </c>
      <c r="K214" s="41">
        <f t="shared" si="25"/>
        <v>0</v>
      </c>
      <c r="L214" s="41">
        <f t="shared" si="25"/>
        <v>0</v>
      </c>
      <c r="M214" s="41">
        <f t="shared" si="25"/>
        <v>10</v>
      </c>
      <c r="N214" s="41">
        <f t="shared" si="25"/>
        <v>0</v>
      </c>
      <c r="O214" s="41">
        <f t="shared" si="25"/>
        <v>0</v>
      </c>
      <c r="P214" s="41">
        <f t="shared" si="25"/>
        <v>0</v>
      </c>
      <c r="Q214" s="41">
        <f t="shared" si="25"/>
        <v>0</v>
      </c>
      <c r="R214" s="69">
        <f>SUM(D214:E214:F214:G214:J214:K214:L214:M214:N214:O214:P214:Q214)</f>
        <v>133</v>
      </c>
    </row>
    <row r="215" spans="1:18" s="4" customFormat="1" ht="15.75" thickBot="1" x14ac:dyDescent="0.3">
      <c r="A215" s="43" t="s">
        <v>34</v>
      </c>
      <c r="B215" s="43"/>
      <c r="C215" s="43"/>
      <c r="D215" s="44">
        <f t="shared" ref="D215:Q215" si="26">D205*D214</f>
        <v>0</v>
      </c>
      <c r="E215" s="44">
        <f t="shared" si="26"/>
        <v>2268</v>
      </c>
      <c r="F215" s="44">
        <f t="shared" si="26"/>
        <v>0</v>
      </c>
      <c r="G215" s="44">
        <f t="shared" si="26"/>
        <v>567</v>
      </c>
      <c r="H215" s="44">
        <f t="shared" si="26"/>
        <v>0</v>
      </c>
      <c r="I215" s="44">
        <f t="shared" si="26"/>
        <v>486</v>
      </c>
      <c r="J215" s="44">
        <f t="shared" si="26"/>
        <v>0</v>
      </c>
      <c r="K215" s="44">
        <f t="shared" si="26"/>
        <v>0</v>
      </c>
      <c r="L215" s="44">
        <f t="shared" si="26"/>
        <v>0</v>
      </c>
      <c r="M215" s="44">
        <f t="shared" si="26"/>
        <v>220</v>
      </c>
      <c r="N215" s="44">
        <f t="shared" si="26"/>
        <v>0</v>
      </c>
      <c r="O215" s="44">
        <f t="shared" si="26"/>
        <v>0</v>
      </c>
      <c r="P215" s="44">
        <f t="shared" si="26"/>
        <v>0</v>
      </c>
      <c r="Q215" s="44">
        <f t="shared" si="26"/>
        <v>0</v>
      </c>
      <c r="R215" s="45">
        <f>SUM(D215:Q215)</f>
        <v>3541</v>
      </c>
    </row>
    <row r="218" spans="1:18" s="4" customFormat="1" ht="15.75" thickBot="1" x14ac:dyDescent="0.3">
      <c r="A218" s="1" t="s">
        <v>82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3"/>
    </row>
    <row r="219" spans="1:18" s="4" customFormat="1" ht="15.75" thickBot="1" x14ac:dyDescent="0.3">
      <c r="A219" s="5" t="s">
        <v>1</v>
      </c>
      <c r="B219" s="5" t="s">
        <v>2</v>
      </c>
      <c r="C219" s="6" t="s">
        <v>3</v>
      </c>
      <c r="D219" s="46" t="s">
        <v>36</v>
      </c>
      <c r="E219" s="8" t="s">
        <v>5</v>
      </c>
      <c r="F219" s="8" t="s">
        <v>37</v>
      </c>
      <c r="G219" s="8" t="s">
        <v>7</v>
      </c>
      <c r="H219" s="8" t="s">
        <v>45</v>
      </c>
      <c r="I219" s="148" t="s">
        <v>57</v>
      </c>
      <c r="J219" s="8" t="s">
        <v>46</v>
      </c>
      <c r="K219" s="10" t="s">
        <v>38</v>
      </c>
      <c r="L219" s="10" t="s">
        <v>39</v>
      </c>
      <c r="M219" s="10" t="s">
        <v>13</v>
      </c>
      <c r="N219" s="11" t="s">
        <v>14</v>
      </c>
      <c r="O219" s="11" t="s">
        <v>48</v>
      </c>
      <c r="P219" s="11" t="s">
        <v>16</v>
      </c>
      <c r="Q219" s="11" t="s">
        <v>49</v>
      </c>
      <c r="R219" s="12" t="s">
        <v>17</v>
      </c>
    </row>
    <row r="220" spans="1:18" s="4" customFormat="1" ht="15.75" thickBot="1" x14ac:dyDescent="0.3">
      <c r="A220" s="13"/>
      <c r="B220" s="13"/>
      <c r="C220" s="70"/>
      <c r="D220" s="48">
        <v>24.5</v>
      </c>
      <c r="E220" s="16">
        <v>27</v>
      </c>
      <c r="F220" s="18">
        <v>24.5</v>
      </c>
      <c r="G220" s="16">
        <v>27</v>
      </c>
      <c r="H220" s="71">
        <v>24.5</v>
      </c>
      <c r="I220" s="16">
        <v>27</v>
      </c>
      <c r="J220" s="71">
        <v>0</v>
      </c>
      <c r="K220" s="18">
        <v>24.5</v>
      </c>
      <c r="L220" s="18">
        <v>20</v>
      </c>
      <c r="M220" s="16">
        <v>22</v>
      </c>
      <c r="N220" s="18">
        <v>26.5</v>
      </c>
      <c r="O220" s="19">
        <v>24</v>
      </c>
      <c r="P220" s="19">
        <v>17.5</v>
      </c>
      <c r="Q220" s="19">
        <v>24.5</v>
      </c>
      <c r="R220" s="20"/>
    </row>
    <row r="221" spans="1:18" s="4" customFormat="1" ht="15.75" thickBot="1" x14ac:dyDescent="0.3">
      <c r="A221" s="21">
        <v>46266</v>
      </c>
      <c r="B221" s="74">
        <v>6747</v>
      </c>
      <c r="C221" s="75"/>
      <c r="D221" s="52"/>
      <c r="E221" s="53">
        <v>42</v>
      </c>
      <c r="F221" s="52"/>
      <c r="G221" s="53">
        <v>21</v>
      </c>
      <c r="H221" s="56"/>
      <c r="I221" s="53">
        <v>16</v>
      </c>
      <c r="J221" s="52"/>
      <c r="K221" s="52"/>
      <c r="L221" s="78"/>
      <c r="M221" s="53"/>
      <c r="N221" s="52"/>
      <c r="O221" s="78"/>
      <c r="P221" s="52"/>
      <c r="Q221" s="52"/>
      <c r="R221" s="134">
        <f>D220*D221+E220*E221+F220*F221+G220*G221+J220*J221+K220*K221+L220*L221+M220*M221+N218*N221+O220*O221+P218*P221+Q220*Q221+H220*H221+I220*I221</f>
        <v>2133</v>
      </c>
    </row>
    <row r="222" spans="1:18" s="4" customFormat="1" ht="15.75" thickBot="1" x14ac:dyDescent="0.3">
      <c r="A222" s="21">
        <v>46268</v>
      </c>
      <c r="B222" s="22">
        <v>2348</v>
      </c>
      <c r="C222" s="80"/>
      <c r="D222" s="52"/>
      <c r="E222" s="53">
        <v>63</v>
      </c>
      <c r="F222" s="52"/>
      <c r="G222" s="53">
        <v>21</v>
      </c>
      <c r="H222" s="56"/>
      <c r="I222" s="56"/>
      <c r="J222" s="52"/>
      <c r="K222" s="52"/>
      <c r="L222" s="52"/>
      <c r="M222" s="52">
        <v>9</v>
      </c>
      <c r="N222" s="52"/>
      <c r="O222" s="52"/>
      <c r="P222" s="52"/>
      <c r="Q222" s="52"/>
      <c r="R222" s="28">
        <f>D220*D222+E220*E222+F220*F222+G220*G222+J220*J222+L220*L222+K220*K222+M220*M222+N220*N222+O220*O222+P220*P222+Q220*Q222+H220*H222+I220*I222</f>
        <v>2466</v>
      </c>
    </row>
    <row r="223" spans="1:18" s="4" customFormat="1" ht="15.75" thickBot="1" x14ac:dyDescent="0.3">
      <c r="A223" s="27">
        <v>46270</v>
      </c>
      <c r="B223" s="22" t="s">
        <v>83</v>
      </c>
      <c r="C223" s="82"/>
      <c r="D223" s="52"/>
      <c r="E223" s="53">
        <v>63</v>
      </c>
      <c r="F223" s="56"/>
      <c r="G223" s="53">
        <v>21</v>
      </c>
      <c r="H223" s="53"/>
      <c r="I223" s="53">
        <v>10</v>
      </c>
      <c r="J223" s="52"/>
      <c r="K223" s="52"/>
      <c r="L223" s="52"/>
      <c r="M223" s="52"/>
      <c r="N223" s="52"/>
      <c r="O223" s="52"/>
      <c r="P223" s="52"/>
      <c r="Q223" s="52"/>
      <c r="R223" s="79">
        <f>D220*D223+E220*E223+F220*F223+G220*G223+J220*J223+L220*L223+K220*K223+M220*M223+N220*N223+O220*O223+P220*P223+Q220*Q223+H220*H223+I220*I223</f>
        <v>2538</v>
      </c>
    </row>
    <row r="224" spans="1:18" s="4" customFormat="1" ht="15.75" thickBot="1" x14ac:dyDescent="0.3">
      <c r="A224" s="21"/>
      <c r="B224" s="22"/>
      <c r="C224" s="82"/>
      <c r="D224" s="56"/>
      <c r="E224" s="53"/>
      <c r="F224" s="53"/>
      <c r="G224" s="53"/>
      <c r="H224" s="53"/>
      <c r="I224" s="53"/>
      <c r="J224" s="53"/>
      <c r="K224" s="78"/>
      <c r="L224" s="52"/>
      <c r="M224" s="52"/>
      <c r="N224" s="52"/>
      <c r="O224" s="52"/>
      <c r="P224" s="52"/>
      <c r="Q224" s="52"/>
      <c r="R224" s="79">
        <f>D220*D224+E220*E224+F220*F224+G220*G224+J220*J224+K224*K220+L220*L224+M220*M224+N220*N224+O220*O224+P220*P224+Q220*Q224+H220*H224+I220*I224</f>
        <v>0</v>
      </c>
    </row>
    <row r="225" spans="1:18" s="4" customFormat="1" ht="15.75" thickBot="1" x14ac:dyDescent="0.3">
      <c r="A225" s="27"/>
      <c r="B225" s="22"/>
      <c r="C225" s="23"/>
      <c r="D225" s="52"/>
      <c r="E225" s="53"/>
      <c r="F225" s="53"/>
      <c r="G225" s="53"/>
      <c r="H225" s="53"/>
      <c r="I225" s="53"/>
      <c r="J225" s="53"/>
      <c r="K225" s="52"/>
      <c r="L225" s="52"/>
      <c r="M225" s="52"/>
      <c r="N225" s="52"/>
      <c r="O225" s="52"/>
      <c r="P225" s="52"/>
      <c r="Q225" s="52"/>
      <c r="R225" s="65">
        <f>D220*D225+E220*E225+F220*F225+G220*G225+J220*J225+K220*K225+L220*L225+M220*M225+N220*N225+O220*O225+P220*P225+Q220*Q225</f>
        <v>0</v>
      </c>
    </row>
    <row r="226" spans="1:18" s="4" customFormat="1" ht="15.75" thickBot="1" x14ac:dyDescent="0.3">
      <c r="A226" s="27"/>
      <c r="B226" s="22"/>
      <c r="C226" s="23"/>
      <c r="D226" s="52"/>
      <c r="E226" s="66"/>
      <c r="F226" s="66"/>
      <c r="G226" s="66"/>
      <c r="H226" s="84"/>
      <c r="I226" s="84"/>
      <c r="J226" s="66"/>
      <c r="K226" s="66"/>
      <c r="L226" s="52"/>
      <c r="M226" s="52"/>
      <c r="N226" s="52"/>
      <c r="O226" s="52"/>
      <c r="P226" s="52"/>
      <c r="Q226" s="52"/>
      <c r="R226" s="65">
        <f>D220*D226+E220*E226+F220*F226+G220*G226+J220*J226+K220*K226+L220*L226+M220*M226+N220*N226+O220*O226+P220*P226+Q220*Q226</f>
        <v>0</v>
      </c>
    </row>
    <row r="227" spans="1:18" s="4" customFormat="1" ht="15.75" thickBot="1" x14ac:dyDescent="0.3">
      <c r="A227" s="23"/>
      <c r="B227" s="85"/>
      <c r="C227" s="86"/>
      <c r="D227" s="52"/>
      <c r="E227" s="52"/>
      <c r="F227" s="52"/>
      <c r="G227" s="52"/>
      <c r="H227" s="52"/>
      <c r="I227" s="52"/>
      <c r="J227" s="52"/>
      <c r="K227" s="52"/>
      <c r="L227" s="87"/>
      <c r="M227" s="87"/>
      <c r="N227" s="87"/>
      <c r="O227" s="87"/>
      <c r="P227" s="87"/>
      <c r="Q227" s="61"/>
      <c r="R227" s="65">
        <f>D220*D227+E220*E227+F220*F227+G220*G227+J220*J227+K220*K227+L220*L227+M220*M227+N220*N227+O220*O227+P220*P227+Q220*Q227</f>
        <v>0</v>
      </c>
    </row>
    <row r="228" spans="1:18" s="4" customFormat="1" ht="15.75" thickBot="1" x14ac:dyDescent="0.3">
      <c r="A228" s="88"/>
      <c r="B228" s="89"/>
      <c r="C228" s="34"/>
      <c r="D228" s="35"/>
      <c r="E228" s="35"/>
      <c r="F228" s="35"/>
      <c r="G228" s="35"/>
      <c r="H228" s="35"/>
      <c r="I228" s="35"/>
      <c r="J228" s="35"/>
      <c r="K228" s="35"/>
      <c r="L228" s="90"/>
      <c r="M228" s="90"/>
      <c r="N228" s="90"/>
      <c r="O228" s="91" t="s">
        <v>32</v>
      </c>
      <c r="P228" s="92"/>
      <c r="Q228" s="39"/>
      <c r="R228" s="67">
        <f>SUM(R221:R227)</f>
        <v>7137</v>
      </c>
    </row>
    <row r="229" spans="1:18" s="4" customFormat="1" ht="15.75" thickBot="1" x14ac:dyDescent="0.3">
      <c r="A229" s="40" t="s">
        <v>33</v>
      </c>
      <c r="B229" s="40"/>
      <c r="C229" s="40"/>
      <c r="D229" s="41">
        <f t="shared" ref="D229:Q229" si="27">SUM(D221:D227)</f>
        <v>0</v>
      </c>
      <c r="E229" s="41">
        <f t="shared" si="27"/>
        <v>168</v>
      </c>
      <c r="F229" s="41">
        <f t="shared" si="27"/>
        <v>0</v>
      </c>
      <c r="G229" s="41">
        <f t="shared" si="27"/>
        <v>63</v>
      </c>
      <c r="H229" s="41">
        <f t="shared" si="27"/>
        <v>0</v>
      </c>
      <c r="I229" s="41">
        <f t="shared" si="27"/>
        <v>26</v>
      </c>
      <c r="J229" s="41">
        <f t="shared" si="27"/>
        <v>0</v>
      </c>
      <c r="K229" s="41">
        <f t="shared" si="27"/>
        <v>0</v>
      </c>
      <c r="L229" s="41">
        <f t="shared" si="27"/>
        <v>0</v>
      </c>
      <c r="M229" s="41">
        <f t="shared" si="27"/>
        <v>9</v>
      </c>
      <c r="N229" s="41">
        <f t="shared" si="27"/>
        <v>0</v>
      </c>
      <c r="O229" s="41">
        <f t="shared" si="27"/>
        <v>0</v>
      </c>
      <c r="P229" s="41">
        <f t="shared" si="27"/>
        <v>0</v>
      </c>
      <c r="Q229" s="41">
        <f t="shared" si="27"/>
        <v>0</v>
      </c>
      <c r="R229" s="69">
        <f>SUM(D229:E229:F229:G229:J229:K229:L229:M229:N229:O229:P229:Q229)</f>
        <v>266</v>
      </c>
    </row>
    <row r="230" spans="1:18" s="4" customFormat="1" ht="15.75" thickBot="1" x14ac:dyDescent="0.3">
      <c r="A230" s="43" t="s">
        <v>34</v>
      </c>
      <c r="B230" s="43"/>
      <c r="C230" s="43"/>
      <c r="D230" s="44">
        <f t="shared" ref="D230:Q230" si="28">D220*D229</f>
        <v>0</v>
      </c>
      <c r="E230" s="44">
        <f t="shared" si="28"/>
        <v>4536</v>
      </c>
      <c r="F230" s="44">
        <f t="shared" si="28"/>
        <v>0</v>
      </c>
      <c r="G230" s="44">
        <f t="shared" si="28"/>
        <v>1701</v>
      </c>
      <c r="H230" s="44">
        <f t="shared" si="28"/>
        <v>0</v>
      </c>
      <c r="I230" s="44">
        <f t="shared" si="28"/>
        <v>702</v>
      </c>
      <c r="J230" s="44">
        <f t="shared" si="28"/>
        <v>0</v>
      </c>
      <c r="K230" s="44">
        <f t="shared" si="28"/>
        <v>0</v>
      </c>
      <c r="L230" s="44">
        <f t="shared" si="28"/>
        <v>0</v>
      </c>
      <c r="M230" s="44">
        <f t="shared" si="28"/>
        <v>198</v>
      </c>
      <c r="N230" s="44">
        <f t="shared" si="28"/>
        <v>0</v>
      </c>
      <c r="O230" s="44">
        <f t="shared" si="28"/>
        <v>0</v>
      </c>
      <c r="P230" s="44">
        <f t="shared" si="28"/>
        <v>0</v>
      </c>
      <c r="Q230" s="44">
        <f t="shared" si="28"/>
        <v>0</v>
      </c>
      <c r="R230" s="45">
        <f>SUM(D230:Q230)</f>
        <v>7137</v>
      </c>
    </row>
    <row r="233" spans="1:18" s="4" customFormat="1" ht="15.75" thickBot="1" x14ac:dyDescent="0.3">
      <c r="A233" s="1" t="s">
        <v>84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3"/>
    </row>
    <row r="234" spans="1:18" s="4" customFormat="1" ht="15.75" thickBot="1" x14ac:dyDescent="0.3">
      <c r="A234" s="5" t="s">
        <v>1</v>
      </c>
      <c r="B234" s="5" t="s">
        <v>2</v>
      </c>
      <c r="C234" s="6" t="s">
        <v>3</v>
      </c>
      <c r="D234" s="46" t="s">
        <v>36</v>
      </c>
      <c r="E234" s="8" t="s">
        <v>5</v>
      </c>
      <c r="F234" s="8" t="s">
        <v>37</v>
      </c>
      <c r="G234" s="8" t="s">
        <v>7</v>
      </c>
      <c r="H234" s="8" t="s">
        <v>45</v>
      </c>
      <c r="I234" s="148" t="s">
        <v>47</v>
      </c>
      <c r="J234" s="8" t="s">
        <v>10</v>
      </c>
      <c r="K234" s="10" t="s">
        <v>38</v>
      </c>
      <c r="L234" s="10" t="s">
        <v>39</v>
      </c>
      <c r="M234" s="10" t="s">
        <v>13</v>
      </c>
      <c r="N234" s="11" t="s">
        <v>14</v>
      </c>
      <c r="O234" s="11" t="s">
        <v>48</v>
      </c>
      <c r="P234" s="11" t="s">
        <v>16</v>
      </c>
      <c r="Q234" s="11" t="s">
        <v>49</v>
      </c>
      <c r="R234" s="151" t="s">
        <v>17</v>
      </c>
    </row>
    <row r="235" spans="1:18" s="4" customFormat="1" ht="15.75" thickBot="1" x14ac:dyDescent="0.3">
      <c r="A235" s="13"/>
      <c r="B235" s="13"/>
      <c r="C235" s="70"/>
      <c r="D235" s="48">
        <v>24.5</v>
      </c>
      <c r="E235" s="16">
        <v>27</v>
      </c>
      <c r="F235" s="18">
        <v>24.5</v>
      </c>
      <c r="G235" s="16"/>
      <c r="H235" s="71">
        <v>24.5</v>
      </c>
      <c r="I235" s="71">
        <v>24.5</v>
      </c>
      <c r="J235" s="16">
        <v>27</v>
      </c>
      <c r="K235" s="18">
        <v>24.5</v>
      </c>
      <c r="L235" s="18">
        <v>20</v>
      </c>
      <c r="M235" s="16">
        <v>22</v>
      </c>
      <c r="N235" s="18">
        <v>26.5</v>
      </c>
      <c r="O235" s="19">
        <v>24</v>
      </c>
      <c r="P235" s="19">
        <v>17.5</v>
      </c>
      <c r="Q235" s="19">
        <v>27</v>
      </c>
      <c r="R235" s="152"/>
    </row>
    <row r="236" spans="1:18" s="4" customFormat="1" ht="15.75" thickBot="1" x14ac:dyDescent="0.3">
      <c r="A236" s="21">
        <v>46265</v>
      </c>
      <c r="B236" s="74">
        <v>6376</v>
      </c>
      <c r="C236" s="75"/>
      <c r="D236" s="52"/>
      <c r="E236" s="53">
        <v>25</v>
      </c>
      <c r="F236" s="53"/>
      <c r="G236" s="76"/>
      <c r="H236" s="76"/>
      <c r="I236" s="153"/>
      <c r="J236" s="53"/>
      <c r="K236" s="53"/>
      <c r="L236" s="83"/>
      <c r="M236" s="53"/>
      <c r="N236" s="52"/>
      <c r="O236" s="78"/>
      <c r="P236" s="52"/>
      <c r="Q236" s="52">
        <v>5</v>
      </c>
      <c r="R236" s="134">
        <f>D235*D236+E235*E236+F233*F235+G233*G236+J235*J236+K233*K236+L235*L236+M235*M236+N233*N236+O235*O236+P233*P236+Q235*Q236+H235*H236+I235*I236</f>
        <v>810</v>
      </c>
    </row>
    <row r="237" spans="1:18" s="4" customFormat="1" ht="15" customHeight="1" thickBot="1" x14ac:dyDescent="0.3">
      <c r="A237" s="27">
        <v>46266</v>
      </c>
      <c r="B237" s="22">
        <v>6388</v>
      </c>
      <c r="C237" s="80"/>
      <c r="D237" s="52"/>
      <c r="E237" s="53"/>
      <c r="F237" s="53"/>
      <c r="G237" s="76"/>
      <c r="H237" s="76"/>
      <c r="I237" s="153"/>
      <c r="J237" s="53">
        <v>25</v>
      </c>
      <c r="K237" s="53"/>
      <c r="L237" s="53"/>
      <c r="M237" s="53"/>
      <c r="N237" s="52"/>
      <c r="O237" s="52"/>
      <c r="P237" s="52"/>
      <c r="Q237" s="52"/>
      <c r="R237" s="28">
        <f>D235*D237+E235*E237+F235*F237+G235*G237+J235*J237+L235*L237+K235*K237+M235*M237+N235*N237+O235*O237+P235*P237+Q235*Q237+H235*H237+I235*I237</f>
        <v>675</v>
      </c>
    </row>
    <row r="238" spans="1:18" s="4" customFormat="1" ht="15.75" thickBot="1" x14ac:dyDescent="0.3">
      <c r="A238" s="27">
        <v>46267</v>
      </c>
      <c r="B238" s="22" t="s">
        <v>85</v>
      </c>
      <c r="C238" s="82"/>
      <c r="D238" s="52"/>
      <c r="E238" s="53">
        <v>15</v>
      </c>
      <c r="F238" s="53"/>
      <c r="G238" s="53"/>
      <c r="H238" s="53"/>
      <c r="I238" s="153"/>
      <c r="J238" s="53">
        <v>25</v>
      </c>
      <c r="K238" s="76"/>
      <c r="L238" s="53"/>
      <c r="M238" s="53"/>
      <c r="N238" s="52"/>
      <c r="O238" s="52"/>
      <c r="P238" s="52"/>
      <c r="Q238" s="52"/>
      <c r="R238" s="134">
        <f>D235*D238+E235*E238+F235*F238+G235*G238+J235*J238+K235*K238+L235*L238+M235*M238+N235*N238+O235*O238+P235*P238+Q235*Q238+H235*H238+I235*I238</f>
        <v>1080</v>
      </c>
    </row>
    <row r="239" spans="1:18" s="4" customFormat="1" ht="15.75" thickBot="1" x14ac:dyDescent="0.3">
      <c r="A239" s="21">
        <v>46268</v>
      </c>
      <c r="B239" s="22" t="s">
        <v>86</v>
      </c>
      <c r="C239" s="82"/>
      <c r="D239" s="56"/>
      <c r="E239" s="53">
        <v>25</v>
      </c>
      <c r="F239" s="53"/>
      <c r="G239" s="53"/>
      <c r="H239" s="53"/>
      <c r="I239" s="154"/>
      <c r="J239" s="53"/>
      <c r="K239" s="83"/>
      <c r="L239" s="53"/>
      <c r="M239" s="53"/>
      <c r="N239" s="52"/>
      <c r="O239" s="52"/>
      <c r="P239" s="52"/>
      <c r="Q239" s="52"/>
      <c r="R239" s="134">
        <f>D235*D239+E235*E239+F235*F239+G235*G239+J235*J239+K239*K235+L235*L239+M235*M239+N235*N239+O235*O239+P235*P239+Q235*Q239+H235*H239+I235*I239</f>
        <v>675</v>
      </c>
    </row>
    <row r="240" spans="1:18" s="4" customFormat="1" ht="15.75" thickBot="1" x14ac:dyDescent="0.3">
      <c r="A240" s="27">
        <v>46269</v>
      </c>
      <c r="B240" s="22" t="s">
        <v>87</v>
      </c>
      <c r="C240" s="23"/>
      <c r="D240" s="52"/>
      <c r="E240" s="52">
        <v>21</v>
      </c>
      <c r="F240" s="52"/>
      <c r="G240" s="52"/>
      <c r="H240" s="56"/>
      <c r="I240" s="155"/>
      <c r="J240" s="52">
        <v>25</v>
      </c>
      <c r="K240" s="52"/>
      <c r="L240" s="52"/>
      <c r="M240" s="52">
        <v>10</v>
      </c>
      <c r="N240" s="52"/>
      <c r="O240" s="52"/>
      <c r="P240" s="52"/>
      <c r="Q240" s="52"/>
      <c r="R240" s="134">
        <f>D235*D240+E235*E240+F236*F240+G236*G240+J235*J240+K240*K236+L236*L240+M235*M240+N236*N240+O236*O240+P236*P240+Q235*Q240+H236*H240+I235*I240</f>
        <v>1462</v>
      </c>
    </row>
    <row r="241" spans="1:18" s="4" customFormat="1" ht="15.75" thickBot="1" x14ac:dyDescent="0.3">
      <c r="A241" s="27">
        <v>46270</v>
      </c>
      <c r="B241" s="22">
        <v>777</v>
      </c>
      <c r="C241" s="23"/>
      <c r="D241" s="52"/>
      <c r="E241" s="52"/>
      <c r="F241" s="52"/>
      <c r="G241" s="52"/>
      <c r="H241" s="56"/>
      <c r="I241" s="56"/>
      <c r="J241" s="52">
        <v>22</v>
      </c>
      <c r="K241" s="66"/>
      <c r="L241" s="52"/>
      <c r="M241" s="52"/>
      <c r="N241" s="52"/>
      <c r="O241" s="52"/>
      <c r="P241" s="52"/>
      <c r="Q241" s="52"/>
      <c r="R241" s="134">
        <f>D236*D241+E235*E241+F237*F241+G237*G241+J235*J241+K241*K237+L237*L241+M236*M241+N237*N241+O237*O241+P237*P241+Q235*Q241+H237*H241+I236*I241</f>
        <v>594</v>
      </c>
    </row>
    <row r="242" spans="1:18" s="4" customFormat="1" ht="15.75" thickBot="1" x14ac:dyDescent="0.3">
      <c r="A242" s="23"/>
      <c r="B242" s="85"/>
      <c r="C242" s="86"/>
      <c r="D242" s="52"/>
      <c r="E242" s="52"/>
      <c r="F242" s="52"/>
      <c r="G242" s="52"/>
      <c r="H242" s="52"/>
      <c r="I242" s="52"/>
      <c r="J242" s="52"/>
      <c r="K242" s="52"/>
      <c r="L242" s="87"/>
      <c r="M242" s="87"/>
      <c r="N242" s="87"/>
      <c r="O242" s="87"/>
      <c r="P242" s="87"/>
      <c r="Q242" s="61"/>
      <c r="R242" s="135">
        <f>D235*D242+E235*E242+F235*F242+G235*G242+J235*J242+K235*K242+L235*L242+M235*M242+N235*N242+O235*O242+P235*P242+Q235*Q242</f>
        <v>0</v>
      </c>
    </row>
    <row r="243" spans="1:18" s="4" customFormat="1" ht="15.75" thickBot="1" x14ac:dyDescent="0.3">
      <c r="A243" s="88"/>
      <c r="B243" s="89"/>
      <c r="C243" s="34"/>
      <c r="D243" s="35"/>
      <c r="E243" s="35"/>
      <c r="F243" s="35"/>
      <c r="G243" s="35"/>
      <c r="H243" s="35"/>
      <c r="I243" s="35"/>
      <c r="J243" s="35"/>
      <c r="K243" s="35"/>
      <c r="L243" s="90"/>
      <c r="M243" s="90"/>
      <c r="N243" s="90"/>
      <c r="O243" s="91" t="s">
        <v>32</v>
      </c>
      <c r="P243" s="92"/>
      <c r="Q243" s="39"/>
      <c r="R243" s="67">
        <f>SUM(R236:R242)</f>
        <v>5296</v>
      </c>
    </row>
    <row r="244" spans="1:18" s="4" customFormat="1" ht="15.75" thickBot="1" x14ac:dyDescent="0.3">
      <c r="A244" s="40" t="s">
        <v>33</v>
      </c>
      <c r="B244" s="40"/>
      <c r="C244" s="40"/>
      <c r="D244" s="156">
        <f t="shared" ref="D244:Q244" si="29">SUM(D236:D242)</f>
        <v>0</v>
      </c>
      <c r="E244" s="119">
        <f t="shared" si="29"/>
        <v>86</v>
      </c>
      <c r="F244" s="119">
        <f t="shared" si="29"/>
        <v>0</v>
      </c>
      <c r="G244" s="119">
        <f t="shared" si="29"/>
        <v>0</v>
      </c>
      <c r="H244" s="119">
        <f t="shared" si="29"/>
        <v>0</v>
      </c>
      <c r="I244" s="119">
        <f t="shared" si="29"/>
        <v>0</v>
      </c>
      <c r="J244" s="119">
        <f t="shared" si="29"/>
        <v>97</v>
      </c>
      <c r="K244" s="119">
        <f t="shared" si="29"/>
        <v>0</v>
      </c>
      <c r="L244" s="119">
        <f t="shared" si="29"/>
        <v>0</v>
      </c>
      <c r="M244" s="119">
        <f t="shared" si="29"/>
        <v>10</v>
      </c>
      <c r="N244" s="119">
        <f t="shared" si="29"/>
        <v>0</v>
      </c>
      <c r="O244" s="119">
        <f t="shared" si="29"/>
        <v>0</v>
      </c>
      <c r="P244" s="119">
        <f t="shared" si="29"/>
        <v>0</v>
      </c>
      <c r="Q244" s="119">
        <f t="shared" si="29"/>
        <v>5</v>
      </c>
      <c r="R244" s="69">
        <f>SUM(D244:E244:F244:G244:J244:K244:L244:M244:N244:O244:P244:Q244)</f>
        <v>198</v>
      </c>
    </row>
    <row r="245" spans="1:18" s="4" customFormat="1" ht="15.75" thickBot="1" x14ac:dyDescent="0.3">
      <c r="A245" s="43" t="s">
        <v>34</v>
      </c>
      <c r="B245" s="43"/>
      <c r="C245" s="43"/>
      <c r="D245" s="120">
        <f t="shared" ref="D245:Q245" si="30">D235*D244</f>
        <v>0</v>
      </c>
      <c r="E245" s="120">
        <f t="shared" si="30"/>
        <v>2322</v>
      </c>
      <c r="F245" s="120">
        <f t="shared" si="30"/>
        <v>0</v>
      </c>
      <c r="G245" s="120">
        <f t="shared" si="30"/>
        <v>0</v>
      </c>
      <c r="H245" s="120">
        <f t="shared" si="30"/>
        <v>0</v>
      </c>
      <c r="I245" s="120">
        <f t="shared" si="30"/>
        <v>0</v>
      </c>
      <c r="J245" s="120">
        <f t="shared" si="30"/>
        <v>2619</v>
      </c>
      <c r="K245" s="120">
        <f t="shared" si="30"/>
        <v>0</v>
      </c>
      <c r="L245" s="120">
        <f t="shared" si="30"/>
        <v>0</v>
      </c>
      <c r="M245" s="120">
        <f t="shared" si="30"/>
        <v>220</v>
      </c>
      <c r="N245" s="120">
        <f t="shared" si="30"/>
        <v>0</v>
      </c>
      <c r="O245" s="120">
        <f t="shared" si="30"/>
        <v>0</v>
      </c>
      <c r="P245" s="120">
        <f t="shared" si="30"/>
        <v>0</v>
      </c>
      <c r="Q245" s="120">
        <f t="shared" si="30"/>
        <v>135</v>
      </c>
      <c r="R245" s="45">
        <f>SUM(D245:Q245)</f>
        <v>5296</v>
      </c>
    </row>
    <row r="248" spans="1:18" s="4" customFormat="1" ht="15.75" thickBot="1" x14ac:dyDescent="0.3">
      <c r="A248" s="1" t="s">
        <v>88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3"/>
    </row>
    <row r="249" spans="1:18" s="4" customFormat="1" ht="15.75" thickBot="1" x14ac:dyDescent="0.3">
      <c r="A249" s="5" t="s">
        <v>1</v>
      </c>
      <c r="B249" s="5" t="s">
        <v>2</v>
      </c>
      <c r="C249" s="6" t="s">
        <v>3</v>
      </c>
      <c r="D249" s="46" t="s">
        <v>36</v>
      </c>
      <c r="E249" s="8" t="s">
        <v>5</v>
      </c>
      <c r="F249" s="8" t="s">
        <v>37</v>
      </c>
      <c r="G249" s="8" t="s">
        <v>7</v>
      </c>
      <c r="H249" s="8" t="s">
        <v>45</v>
      </c>
      <c r="I249" s="148" t="s">
        <v>47</v>
      </c>
      <c r="J249" s="8" t="s">
        <v>89</v>
      </c>
      <c r="K249" s="10" t="s">
        <v>38</v>
      </c>
      <c r="L249" s="10" t="s">
        <v>39</v>
      </c>
      <c r="M249" s="10" t="s">
        <v>13</v>
      </c>
      <c r="N249" s="11" t="s">
        <v>14</v>
      </c>
      <c r="O249" s="11" t="s">
        <v>48</v>
      </c>
      <c r="P249" s="11" t="s">
        <v>16</v>
      </c>
      <c r="Q249" s="11" t="s">
        <v>49</v>
      </c>
      <c r="R249" s="12" t="s">
        <v>17</v>
      </c>
    </row>
    <row r="250" spans="1:18" s="4" customFormat="1" ht="15.75" thickBot="1" x14ac:dyDescent="0.3">
      <c r="A250" s="13"/>
      <c r="B250" s="13"/>
      <c r="C250" s="70"/>
      <c r="D250" s="48">
        <v>24.5</v>
      </c>
      <c r="E250" s="16">
        <v>27</v>
      </c>
      <c r="F250" s="18">
        <v>24.5</v>
      </c>
      <c r="G250" s="71">
        <v>0</v>
      </c>
      <c r="H250" s="71">
        <v>24.5</v>
      </c>
      <c r="I250" s="71">
        <v>24.5</v>
      </c>
      <c r="J250" s="71">
        <v>26.5</v>
      </c>
      <c r="K250" s="18">
        <v>24.5</v>
      </c>
      <c r="L250" s="18">
        <v>22</v>
      </c>
      <c r="M250" s="18">
        <v>22</v>
      </c>
      <c r="N250" s="18">
        <v>26.5</v>
      </c>
      <c r="O250" s="19">
        <v>29</v>
      </c>
      <c r="P250" s="19">
        <v>17.5</v>
      </c>
      <c r="Q250" s="19">
        <v>24.5</v>
      </c>
      <c r="R250" s="20"/>
    </row>
    <row r="251" spans="1:18" s="4" customFormat="1" ht="15.75" thickBot="1" x14ac:dyDescent="0.3">
      <c r="A251" s="21">
        <v>46265</v>
      </c>
      <c r="B251" s="74">
        <v>6725</v>
      </c>
      <c r="C251" s="75"/>
      <c r="D251" s="52"/>
      <c r="E251" s="53">
        <v>36</v>
      </c>
      <c r="F251" s="52"/>
      <c r="G251" s="76"/>
      <c r="H251" s="77"/>
      <c r="I251" s="77"/>
      <c r="J251" s="52"/>
      <c r="K251" s="52"/>
      <c r="L251" s="78"/>
      <c r="M251" s="52"/>
      <c r="N251" s="52"/>
      <c r="O251" s="78"/>
      <c r="P251" s="52"/>
      <c r="Q251" s="52"/>
      <c r="R251" s="79">
        <f>D250*D251+E250*E251+F248*F250+G248*G251+J250*J251+K248*K251+L250*L251+M250*M251+N248*N251+O250*O251+P248*P251+Q250*Q251+H250*H251+I250*I251</f>
        <v>972</v>
      </c>
    </row>
    <row r="252" spans="1:18" s="4" customFormat="1" ht="15.75" thickBot="1" x14ac:dyDescent="0.3">
      <c r="A252" s="27">
        <v>46267</v>
      </c>
      <c r="B252" s="74">
        <v>7378</v>
      </c>
      <c r="C252" s="80"/>
      <c r="D252" s="52"/>
      <c r="E252" s="53">
        <v>25</v>
      </c>
      <c r="F252" s="52"/>
      <c r="G252" s="76"/>
      <c r="H252" s="77"/>
      <c r="I252" s="77"/>
      <c r="J252" s="52"/>
      <c r="K252" s="52"/>
      <c r="L252" s="52"/>
      <c r="M252" s="52"/>
      <c r="N252" s="52"/>
      <c r="O252" s="52"/>
      <c r="P252" s="52"/>
      <c r="Q252" s="52"/>
      <c r="R252" s="59">
        <f>D250*D252+E250*E252+F250*F252+G250*G252+J250*J252+L250*L252+K250*K252+M250*M252+N250*N252+O250*O252+P250*P252+Q250*Q252+H250*H252+I250*I252</f>
        <v>675</v>
      </c>
    </row>
    <row r="253" spans="1:18" s="4" customFormat="1" ht="15.75" thickBot="1" x14ac:dyDescent="0.3">
      <c r="A253" s="27">
        <v>46269</v>
      </c>
      <c r="B253" s="22" t="s">
        <v>90</v>
      </c>
      <c r="C253" s="82"/>
      <c r="D253" s="52"/>
      <c r="E253" s="53">
        <v>27</v>
      </c>
      <c r="F253" s="56"/>
      <c r="G253" s="56"/>
      <c r="H253" s="56"/>
      <c r="I253" s="56"/>
      <c r="J253" s="52"/>
      <c r="K253" s="57"/>
      <c r="L253" s="52"/>
      <c r="M253" s="52"/>
      <c r="N253" s="52"/>
      <c r="O253" s="52"/>
      <c r="P253" s="52"/>
      <c r="Q253" s="52"/>
      <c r="R253" s="79">
        <f>D250*D253+E250*E253+F250*F253+G250*G253+J250*J253+K250*K253+L250*L253+M250*M253+N250*N253+O250*O253+P250*P253+Q250*Q253+H250*H253</f>
        <v>729</v>
      </c>
    </row>
    <row r="254" spans="1:18" s="4" customFormat="1" ht="15.75" thickBot="1" x14ac:dyDescent="0.3">
      <c r="A254" s="21"/>
      <c r="B254" s="22"/>
      <c r="C254" s="82"/>
      <c r="D254" s="56"/>
      <c r="E254" s="52"/>
      <c r="F254" s="52"/>
      <c r="G254" s="52"/>
      <c r="H254" s="56"/>
      <c r="I254" s="56"/>
      <c r="J254" s="52"/>
      <c r="K254" s="78"/>
      <c r="L254" s="52"/>
      <c r="M254" s="52"/>
      <c r="N254" s="52"/>
      <c r="O254" s="52"/>
      <c r="P254" s="52"/>
      <c r="Q254" s="52"/>
      <c r="R254" s="79">
        <f>D250*D254+E250*E254+F250*F254+G250*G254+J250*J254+K254*K250+L250*L254+M250*M254+N250*N254+O250*O254+P250*P254+Q250*Q254+H250*H254</f>
        <v>0</v>
      </c>
    </row>
    <row r="255" spans="1:18" s="4" customFormat="1" ht="15.75" thickBot="1" x14ac:dyDescent="0.3">
      <c r="A255" s="27"/>
      <c r="B255" s="22"/>
      <c r="C255" s="23"/>
      <c r="D255" s="52"/>
      <c r="E255" s="52"/>
      <c r="F255" s="52"/>
      <c r="G255" s="52"/>
      <c r="H255" s="56"/>
      <c r="I255" s="56"/>
      <c r="J255" s="52"/>
      <c r="K255" s="52"/>
      <c r="L255" s="52"/>
      <c r="M255" s="52"/>
      <c r="N255" s="52"/>
      <c r="O255" s="52"/>
      <c r="P255" s="52"/>
      <c r="Q255" s="52"/>
      <c r="R255" s="65">
        <f>D250*D255+E250*E255+F250*F255+G250*G255+J250*J255+K250*K255+L250*L255+M250*M255+N250*N255+O250*O255+P250*P255+Q250*Q255</f>
        <v>0</v>
      </c>
    </row>
    <row r="256" spans="1:18" s="4" customFormat="1" ht="15.75" thickBot="1" x14ac:dyDescent="0.3">
      <c r="A256" s="27"/>
      <c r="B256" s="22"/>
      <c r="C256" s="23"/>
      <c r="D256" s="52"/>
      <c r="E256" s="66"/>
      <c r="F256" s="66"/>
      <c r="G256" s="66"/>
      <c r="H256" s="84"/>
      <c r="I256" s="84"/>
      <c r="J256" s="66"/>
      <c r="K256" s="66"/>
      <c r="L256" s="52"/>
      <c r="M256" s="52"/>
      <c r="N256" s="52"/>
      <c r="O256" s="52"/>
      <c r="P256" s="52"/>
      <c r="Q256" s="52"/>
      <c r="R256" s="65">
        <f>D250*D256+E250*E256+F250*F256+G250*G256+J250*J256+K250*K256+L250*L256+M250*M256+N250*N256+O250*O256+P250*P256+Q250*Q256</f>
        <v>0</v>
      </c>
    </row>
    <row r="257" spans="1:18" s="4" customFormat="1" ht="15.75" thickBot="1" x14ac:dyDescent="0.3">
      <c r="A257" s="23"/>
      <c r="B257" s="85"/>
      <c r="C257" s="86"/>
      <c r="D257" s="52"/>
      <c r="E257" s="52"/>
      <c r="F257" s="52"/>
      <c r="G257" s="52"/>
      <c r="H257" s="52"/>
      <c r="I257" s="52"/>
      <c r="J257" s="52"/>
      <c r="K257" s="52"/>
      <c r="L257" s="87"/>
      <c r="M257" s="87"/>
      <c r="N257" s="87"/>
      <c r="O257" s="87"/>
      <c r="P257" s="87"/>
      <c r="Q257" s="61"/>
      <c r="R257" s="65">
        <f>D250*D257+E250*E257+F250*F257+G250*G257+J250*J257+K250*K257+L250*L257+M250*M257+N250*N257+O250*O257+P250*P257+Q250*Q257</f>
        <v>0</v>
      </c>
    </row>
    <row r="258" spans="1:18" s="4" customFormat="1" ht="15.75" thickBot="1" x14ac:dyDescent="0.3">
      <c r="A258" s="88"/>
      <c r="B258" s="89"/>
      <c r="C258" s="34"/>
      <c r="D258" s="35"/>
      <c r="E258" s="35"/>
      <c r="F258" s="35"/>
      <c r="G258" s="35"/>
      <c r="H258" s="35"/>
      <c r="I258" s="35"/>
      <c r="J258" s="35"/>
      <c r="K258" s="35"/>
      <c r="L258" s="90"/>
      <c r="M258" s="90"/>
      <c r="N258" s="90"/>
      <c r="O258" s="91" t="s">
        <v>32</v>
      </c>
      <c r="P258" s="92"/>
      <c r="Q258" s="39"/>
      <c r="R258" s="67">
        <f>SUM(R251:R257)</f>
        <v>2376</v>
      </c>
    </row>
    <row r="259" spans="1:18" s="4" customFormat="1" ht="15.75" thickBot="1" x14ac:dyDescent="0.3">
      <c r="A259" s="40" t="s">
        <v>33</v>
      </c>
      <c r="B259" s="40"/>
      <c r="C259" s="40"/>
      <c r="D259" s="41">
        <f>SUM(D251:D257)</f>
        <v>0</v>
      </c>
      <c r="E259" s="41">
        <f>SUM(E251:E257)</f>
        <v>88</v>
      </c>
      <c r="F259" s="41">
        <f>SUM(F251:F257)</f>
        <v>0</v>
      </c>
      <c r="G259" s="41">
        <f>SUM(G251:G257)</f>
        <v>0</v>
      </c>
      <c r="H259" s="41">
        <f>SUM(H251:H257)</f>
        <v>0</v>
      </c>
      <c r="I259" s="41"/>
      <c r="J259" s="41">
        <f t="shared" ref="J259:Q259" si="31">SUM(J251:J257)</f>
        <v>0</v>
      </c>
      <c r="K259" s="41">
        <f t="shared" si="31"/>
        <v>0</v>
      </c>
      <c r="L259" s="41">
        <f t="shared" si="31"/>
        <v>0</v>
      </c>
      <c r="M259" s="41">
        <f t="shared" si="31"/>
        <v>0</v>
      </c>
      <c r="N259" s="41">
        <f t="shared" si="31"/>
        <v>0</v>
      </c>
      <c r="O259" s="41">
        <f t="shared" si="31"/>
        <v>0</v>
      </c>
      <c r="P259" s="41">
        <f t="shared" si="31"/>
        <v>0</v>
      </c>
      <c r="Q259" s="41">
        <f t="shared" si="31"/>
        <v>0</v>
      </c>
      <c r="R259" s="69">
        <f>SUM(D259:E259:F259:G259:J259:K259:L259:M259:N259:O259:P259:Q259)</f>
        <v>88</v>
      </c>
    </row>
    <row r="260" spans="1:18" s="4" customFormat="1" ht="15.75" thickBot="1" x14ac:dyDescent="0.3">
      <c r="A260" s="43" t="s">
        <v>34</v>
      </c>
      <c r="B260" s="43"/>
      <c r="C260" s="43"/>
      <c r="D260" s="44">
        <f>D250*D259</f>
        <v>0</v>
      </c>
      <c r="E260" s="44">
        <f>E250*E259</f>
        <v>2376</v>
      </c>
      <c r="F260" s="44">
        <f>F250*F259</f>
        <v>0</v>
      </c>
      <c r="G260" s="44">
        <f>G250*G259</f>
        <v>0</v>
      </c>
      <c r="H260" s="44">
        <f>H250*H259</f>
        <v>0</v>
      </c>
      <c r="I260" s="44"/>
      <c r="J260" s="44">
        <f t="shared" ref="J260:Q260" si="32">J250*J259</f>
        <v>0</v>
      </c>
      <c r="K260" s="44">
        <f t="shared" si="32"/>
        <v>0</v>
      </c>
      <c r="L260" s="44">
        <f t="shared" si="32"/>
        <v>0</v>
      </c>
      <c r="M260" s="44">
        <f t="shared" si="32"/>
        <v>0</v>
      </c>
      <c r="N260" s="44">
        <f t="shared" si="32"/>
        <v>0</v>
      </c>
      <c r="O260" s="44">
        <f t="shared" si="32"/>
        <v>0</v>
      </c>
      <c r="P260" s="44">
        <f t="shared" si="32"/>
        <v>0</v>
      </c>
      <c r="Q260" s="44">
        <f t="shared" si="32"/>
        <v>0</v>
      </c>
      <c r="R260" s="45">
        <f>SUM(D260:Q260)</f>
        <v>2376</v>
      </c>
    </row>
    <row r="263" spans="1:18" s="4" customFormat="1" ht="15.75" thickBot="1" x14ac:dyDescent="0.3">
      <c r="A263" s="1" t="s">
        <v>91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3"/>
    </row>
    <row r="264" spans="1:18" s="4" customFormat="1" ht="15.75" thickBot="1" x14ac:dyDescent="0.3">
      <c r="A264" s="5" t="s">
        <v>1</v>
      </c>
      <c r="B264" s="5" t="s">
        <v>2</v>
      </c>
      <c r="C264" s="6" t="s">
        <v>3</v>
      </c>
      <c r="D264" s="46" t="s">
        <v>36</v>
      </c>
      <c r="E264" s="8" t="s">
        <v>5</v>
      </c>
      <c r="F264" s="8" t="s">
        <v>37</v>
      </c>
      <c r="G264" s="8" t="s">
        <v>7</v>
      </c>
      <c r="H264" s="8" t="s">
        <v>45</v>
      </c>
      <c r="I264" s="148" t="s">
        <v>57</v>
      </c>
      <c r="J264" s="8" t="s">
        <v>89</v>
      </c>
      <c r="K264" s="10" t="s">
        <v>38</v>
      </c>
      <c r="L264" s="10" t="s">
        <v>39</v>
      </c>
      <c r="M264" s="10" t="s">
        <v>13</v>
      </c>
      <c r="N264" s="11" t="s">
        <v>14</v>
      </c>
      <c r="O264" s="11" t="s">
        <v>48</v>
      </c>
      <c r="P264" s="11" t="s">
        <v>16</v>
      </c>
      <c r="Q264" s="11" t="s">
        <v>49</v>
      </c>
      <c r="R264" s="12" t="s">
        <v>17</v>
      </c>
    </row>
    <row r="265" spans="1:18" s="4" customFormat="1" ht="15.75" thickBot="1" x14ac:dyDescent="0.3">
      <c r="A265" s="13"/>
      <c r="B265" s="13"/>
      <c r="C265" s="70"/>
      <c r="D265" s="48">
        <v>23.5</v>
      </c>
      <c r="E265" s="16">
        <v>26</v>
      </c>
      <c r="F265" s="18">
        <v>24.5</v>
      </c>
      <c r="G265" s="71"/>
      <c r="H265" s="71">
        <v>24.5</v>
      </c>
      <c r="I265" s="16">
        <v>27</v>
      </c>
      <c r="J265" s="71">
        <v>26.5</v>
      </c>
      <c r="K265" s="18">
        <v>24.5</v>
      </c>
      <c r="L265" s="18">
        <v>20</v>
      </c>
      <c r="M265" s="16">
        <v>22</v>
      </c>
      <c r="N265" s="18">
        <v>26.5</v>
      </c>
      <c r="O265" s="19">
        <v>24</v>
      </c>
      <c r="P265" s="19">
        <v>17.5</v>
      </c>
      <c r="Q265" s="19">
        <v>24.5</v>
      </c>
      <c r="R265" s="20"/>
    </row>
    <row r="266" spans="1:18" s="4" customFormat="1" ht="15.75" thickBot="1" x14ac:dyDescent="0.3">
      <c r="A266" s="21">
        <v>46265</v>
      </c>
      <c r="B266" s="74">
        <v>7344</v>
      </c>
      <c r="C266" s="75"/>
      <c r="D266" s="52"/>
      <c r="E266" s="53">
        <v>90</v>
      </c>
      <c r="F266" s="52"/>
      <c r="G266" s="76"/>
      <c r="H266" s="77"/>
      <c r="I266" s="77"/>
      <c r="J266" s="52"/>
      <c r="K266" s="52"/>
      <c r="L266" s="78"/>
      <c r="M266" s="53"/>
      <c r="N266" s="52"/>
      <c r="O266" s="78"/>
      <c r="P266" s="52"/>
      <c r="Q266" s="52"/>
      <c r="R266" s="134">
        <f>D265*D266+E265*E266+F263*F265+G263*G266+J265*J266+K263*K266+L265*L266+M265*M266+N263*N266+O265*O266+P263*P266+Q265*Q266+H265*H266</f>
        <v>2340</v>
      </c>
    </row>
    <row r="267" spans="1:18" s="4" customFormat="1" ht="15.75" thickBot="1" x14ac:dyDescent="0.3">
      <c r="A267" s="21">
        <v>46266</v>
      </c>
      <c r="B267" s="22">
        <v>7666</v>
      </c>
      <c r="C267" s="80"/>
      <c r="D267" s="52"/>
      <c r="E267" s="53">
        <v>30</v>
      </c>
      <c r="F267" s="52"/>
      <c r="G267" s="76"/>
      <c r="H267" s="77"/>
      <c r="I267" s="77">
        <v>90</v>
      </c>
      <c r="J267" s="52"/>
      <c r="K267" s="52"/>
      <c r="L267" s="52"/>
      <c r="M267" s="53"/>
      <c r="N267" s="52"/>
      <c r="O267" s="52"/>
      <c r="P267" s="52"/>
      <c r="Q267" s="52"/>
      <c r="R267" s="28">
        <f>D265*D267+E265*E267+F265*F267+G265*G267+J265*J267+L265*L267+K265*K267+M265*M267+N265*N267+O265*O267+P265*P267+Q265*Q267+H265*H267+I265*I267</f>
        <v>3210</v>
      </c>
    </row>
    <row r="268" spans="1:18" s="4" customFormat="1" ht="15.75" thickBot="1" x14ac:dyDescent="0.3">
      <c r="A268" s="27">
        <v>46267</v>
      </c>
      <c r="B268" s="22">
        <v>7681</v>
      </c>
      <c r="C268" s="82"/>
      <c r="D268" s="52"/>
      <c r="E268" s="53">
        <v>50</v>
      </c>
      <c r="F268" s="56"/>
      <c r="G268" s="56"/>
      <c r="H268" s="56"/>
      <c r="I268" s="53"/>
      <c r="J268" s="52"/>
      <c r="K268" s="57"/>
      <c r="L268" s="52"/>
      <c r="M268" s="53"/>
      <c r="N268" s="52"/>
      <c r="O268" s="52"/>
      <c r="P268" s="52"/>
      <c r="Q268" s="52"/>
      <c r="R268" s="134">
        <f>D265*D268+E265*E268+F265*F268+G265*G268+J265*J268+K265*K268+L265*L268+M265*M268+N265*N268+O265*O268+P265*P268+Q265*Q268+H265*H268+I265*I268</f>
        <v>1300</v>
      </c>
    </row>
    <row r="269" spans="1:18" s="4" customFormat="1" ht="15.75" thickBot="1" x14ac:dyDescent="0.3">
      <c r="A269" s="21">
        <v>46268</v>
      </c>
      <c r="B269" s="22">
        <v>7695</v>
      </c>
      <c r="C269" s="82"/>
      <c r="D269" s="56"/>
      <c r="E269" s="53">
        <v>60</v>
      </c>
      <c r="F269" s="53"/>
      <c r="G269" s="53"/>
      <c r="H269" s="53"/>
      <c r="I269" s="53"/>
      <c r="J269" s="52"/>
      <c r="K269" s="78"/>
      <c r="L269" s="52"/>
      <c r="M269" s="52"/>
      <c r="N269" s="52"/>
      <c r="O269" s="52"/>
      <c r="P269" s="52"/>
      <c r="Q269" s="52"/>
      <c r="R269" s="134">
        <f>D265*D269+E265*E269+F265*F269+G265*G269+J265*J269+K269*K265+L265*L269+M265*M269+N265*N269+O265*O269+P265*P269+Q265*Q269+H265*H269</f>
        <v>1560</v>
      </c>
    </row>
    <row r="270" spans="1:18" s="4" customFormat="1" ht="15.75" thickBot="1" x14ac:dyDescent="0.3">
      <c r="A270" s="27">
        <v>46269</v>
      </c>
      <c r="B270" s="22" t="s">
        <v>92</v>
      </c>
      <c r="C270" s="23"/>
      <c r="D270" s="52"/>
      <c r="E270" s="53">
        <v>30</v>
      </c>
      <c r="F270" s="53"/>
      <c r="G270" s="53"/>
      <c r="H270" s="53"/>
      <c r="I270" s="53">
        <v>40</v>
      </c>
      <c r="J270" s="52"/>
      <c r="K270" s="52"/>
      <c r="L270" s="52"/>
      <c r="M270" s="52">
        <v>8</v>
      </c>
      <c r="N270" s="52"/>
      <c r="O270" s="52"/>
      <c r="P270" s="52"/>
      <c r="Q270" s="52"/>
      <c r="R270" s="134">
        <f>D265*D270+E265*E270+F266*F270+G266*G270+J266*J270+K270*K266+L266*L270+M265*M270+N266*N270+O266*O270+P266*P270+Q266*Q270+H266*H270+I265*I270</f>
        <v>2036</v>
      </c>
    </row>
    <row r="271" spans="1:18" s="4" customFormat="1" ht="15.75" thickBot="1" x14ac:dyDescent="0.3">
      <c r="A271" s="27">
        <v>46270</v>
      </c>
      <c r="B271" s="22" t="s">
        <v>93</v>
      </c>
      <c r="C271" s="23"/>
      <c r="D271" s="52"/>
      <c r="E271" s="53">
        <v>90</v>
      </c>
      <c r="F271" s="53"/>
      <c r="G271" s="53"/>
      <c r="H271" s="53"/>
      <c r="I271" s="53"/>
      <c r="J271" s="52"/>
      <c r="K271" s="66"/>
      <c r="L271" s="52"/>
      <c r="M271" s="52"/>
      <c r="N271" s="52"/>
      <c r="O271" s="52"/>
      <c r="P271" s="52"/>
      <c r="Q271" s="52"/>
      <c r="R271" s="134">
        <f>D266*D271+E265*E271+F267*F271+G267*G271+J267*J271+K271*K267+L267*L271+M266*M271+N267*N271+O267*O271+P267*P271+Q267*Q271+H267*H271+I265*I271</f>
        <v>2340</v>
      </c>
    </row>
    <row r="272" spans="1:18" s="4" customFormat="1" ht="15.75" thickBot="1" x14ac:dyDescent="0.3">
      <c r="A272" s="23"/>
      <c r="B272" s="85"/>
      <c r="C272" s="86"/>
      <c r="D272" s="52"/>
      <c r="E272" s="52"/>
      <c r="F272" s="52"/>
      <c r="G272" s="52"/>
      <c r="H272" s="52"/>
      <c r="I272" s="52"/>
      <c r="J272" s="52"/>
      <c r="K272" s="52"/>
      <c r="L272" s="87"/>
      <c r="M272" s="87"/>
      <c r="N272" s="87"/>
      <c r="O272" s="87"/>
      <c r="P272" s="87"/>
      <c r="Q272" s="61"/>
      <c r="R272" s="135">
        <f>D265*D272+E265*E272+F265*F272+G265*G272+J265*J272+K265*K272+L265*L272+M265*M272+N265*N272+O265*O272+P265*P272+Q265*Q272</f>
        <v>0</v>
      </c>
    </row>
    <row r="273" spans="1:19" s="4" customFormat="1" ht="15.75" thickBot="1" x14ac:dyDescent="0.3">
      <c r="A273" s="88"/>
      <c r="B273" s="89"/>
      <c r="C273" s="34"/>
      <c r="D273" s="35"/>
      <c r="E273" s="35"/>
      <c r="F273" s="35"/>
      <c r="G273" s="35"/>
      <c r="H273" s="35"/>
      <c r="I273" s="35"/>
      <c r="J273" s="35"/>
      <c r="K273" s="35"/>
      <c r="L273" s="90"/>
      <c r="M273" s="90"/>
      <c r="N273" s="90"/>
      <c r="O273" s="91" t="s">
        <v>32</v>
      </c>
      <c r="P273" s="92"/>
      <c r="Q273" s="39"/>
      <c r="R273" s="67">
        <f>SUM(R266:R272)</f>
        <v>12786</v>
      </c>
    </row>
    <row r="274" spans="1:19" s="4" customFormat="1" ht="15.75" thickBot="1" x14ac:dyDescent="0.3">
      <c r="A274" s="40" t="s">
        <v>33</v>
      </c>
      <c r="B274" s="40"/>
      <c r="C274" s="40"/>
      <c r="D274" s="41">
        <f t="shared" ref="D274:Q274" si="33">SUM(D266:D272)</f>
        <v>0</v>
      </c>
      <c r="E274" s="41">
        <f t="shared" si="33"/>
        <v>350</v>
      </c>
      <c r="F274" s="41">
        <f t="shared" si="33"/>
        <v>0</v>
      </c>
      <c r="G274" s="41">
        <f t="shared" si="33"/>
        <v>0</v>
      </c>
      <c r="H274" s="41">
        <f t="shared" si="33"/>
        <v>0</v>
      </c>
      <c r="I274" s="41">
        <f t="shared" si="33"/>
        <v>130</v>
      </c>
      <c r="J274" s="41">
        <f t="shared" si="33"/>
        <v>0</v>
      </c>
      <c r="K274" s="41">
        <f t="shared" si="33"/>
        <v>0</v>
      </c>
      <c r="L274" s="41">
        <f t="shared" si="33"/>
        <v>0</v>
      </c>
      <c r="M274" s="41">
        <f t="shared" si="33"/>
        <v>8</v>
      </c>
      <c r="N274" s="41">
        <f t="shared" si="33"/>
        <v>0</v>
      </c>
      <c r="O274" s="41">
        <f t="shared" si="33"/>
        <v>0</v>
      </c>
      <c r="P274" s="41">
        <f t="shared" si="33"/>
        <v>0</v>
      </c>
      <c r="Q274" s="41">
        <f t="shared" si="33"/>
        <v>0</v>
      </c>
      <c r="R274" s="69">
        <f>SUM(D274:E274:F274:G274:J274:K274:L274:M274:N274:O274:P274:Q274)</f>
        <v>488</v>
      </c>
    </row>
    <row r="275" spans="1:19" s="4" customFormat="1" ht="15.75" thickBot="1" x14ac:dyDescent="0.3">
      <c r="A275" s="43" t="s">
        <v>34</v>
      </c>
      <c r="B275" s="43"/>
      <c r="C275" s="43"/>
      <c r="D275" s="44">
        <f t="shared" ref="D275:Q275" si="34">D265*D274</f>
        <v>0</v>
      </c>
      <c r="E275" s="44">
        <f t="shared" si="34"/>
        <v>9100</v>
      </c>
      <c r="F275" s="44">
        <f t="shared" si="34"/>
        <v>0</v>
      </c>
      <c r="G275" s="44">
        <f t="shared" si="34"/>
        <v>0</v>
      </c>
      <c r="H275" s="44">
        <f t="shared" si="34"/>
        <v>0</v>
      </c>
      <c r="I275" s="44">
        <f t="shared" si="34"/>
        <v>3510</v>
      </c>
      <c r="J275" s="44">
        <f t="shared" si="34"/>
        <v>0</v>
      </c>
      <c r="K275" s="44">
        <f t="shared" si="34"/>
        <v>0</v>
      </c>
      <c r="L275" s="44">
        <f t="shared" si="34"/>
        <v>0</v>
      </c>
      <c r="M275" s="44">
        <f t="shared" si="34"/>
        <v>176</v>
      </c>
      <c r="N275" s="44">
        <f t="shared" si="34"/>
        <v>0</v>
      </c>
      <c r="O275" s="44">
        <f t="shared" si="34"/>
        <v>0</v>
      </c>
      <c r="P275" s="44">
        <f t="shared" si="34"/>
        <v>0</v>
      </c>
      <c r="Q275" s="44">
        <f t="shared" si="34"/>
        <v>0</v>
      </c>
      <c r="R275" s="45">
        <f>SUM(D275:Q275)</f>
        <v>12786</v>
      </c>
    </row>
    <row r="278" spans="1:19" s="4" customFormat="1" ht="15.75" thickBot="1" x14ac:dyDescent="0.3">
      <c r="A278" s="1" t="s">
        <v>94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3"/>
    </row>
    <row r="279" spans="1:19" s="4" customFormat="1" ht="15.75" thickBot="1" x14ac:dyDescent="0.3">
      <c r="A279" s="5" t="s">
        <v>1</v>
      </c>
      <c r="B279" s="5" t="s">
        <v>2</v>
      </c>
      <c r="C279" s="6" t="s">
        <v>3</v>
      </c>
      <c r="D279" s="46" t="s">
        <v>36</v>
      </c>
      <c r="E279" s="8" t="s">
        <v>5</v>
      </c>
      <c r="F279" s="8" t="s">
        <v>37</v>
      </c>
      <c r="G279" s="8" t="s">
        <v>7</v>
      </c>
      <c r="H279" s="8" t="s">
        <v>45</v>
      </c>
      <c r="I279" s="148" t="s">
        <v>57</v>
      </c>
      <c r="J279" s="8" t="s">
        <v>89</v>
      </c>
      <c r="K279" s="10" t="s">
        <v>38</v>
      </c>
      <c r="L279" s="10" t="s">
        <v>39</v>
      </c>
      <c r="M279" s="10" t="s">
        <v>13</v>
      </c>
      <c r="N279" s="11" t="s">
        <v>14</v>
      </c>
      <c r="O279" s="11" t="s">
        <v>48</v>
      </c>
      <c r="P279" s="11" t="s">
        <v>16</v>
      </c>
      <c r="Q279" s="11" t="s">
        <v>49</v>
      </c>
      <c r="R279" s="12" t="s">
        <v>17</v>
      </c>
    </row>
    <row r="280" spans="1:19" s="4" customFormat="1" ht="15.75" thickBot="1" x14ac:dyDescent="0.3">
      <c r="A280" s="13"/>
      <c r="B280" s="13"/>
      <c r="C280" s="70"/>
      <c r="D280" s="48">
        <v>24</v>
      </c>
      <c r="E280" s="16">
        <v>26.5</v>
      </c>
      <c r="F280" s="18">
        <v>24</v>
      </c>
      <c r="G280" s="16">
        <v>26.5</v>
      </c>
      <c r="H280" s="16">
        <v>26.5</v>
      </c>
      <c r="I280" s="16">
        <v>27</v>
      </c>
      <c r="J280" s="71">
        <v>26.5</v>
      </c>
      <c r="K280" s="18">
        <v>24</v>
      </c>
      <c r="L280" s="18">
        <v>20</v>
      </c>
      <c r="M280" s="16">
        <v>22</v>
      </c>
      <c r="N280" s="18">
        <v>24</v>
      </c>
      <c r="O280" s="19">
        <v>24</v>
      </c>
      <c r="P280" s="19">
        <v>17.5</v>
      </c>
      <c r="Q280" s="19">
        <v>24</v>
      </c>
      <c r="R280" s="20"/>
      <c r="S280" s="100">
        <f>R293+R311</f>
        <v>9902.5</v>
      </c>
    </row>
    <row r="281" spans="1:19" s="4" customFormat="1" ht="15.75" thickBot="1" x14ac:dyDescent="0.3">
      <c r="A281" s="21">
        <v>46266</v>
      </c>
      <c r="B281" s="74">
        <v>16957</v>
      </c>
      <c r="C281" s="75"/>
      <c r="D281" s="52"/>
      <c r="E281" s="53">
        <v>21</v>
      </c>
      <c r="F281" s="52"/>
      <c r="G281" s="53">
        <v>21</v>
      </c>
      <c r="H281" s="53"/>
      <c r="I281" s="53"/>
      <c r="J281" s="52"/>
      <c r="K281" s="52"/>
      <c r="L281" s="78"/>
      <c r="M281" s="53"/>
      <c r="N281" s="52"/>
      <c r="O281" s="78"/>
      <c r="P281" s="52"/>
      <c r="Q281" s="52"/>
      <c r="R281" s="134">
        <f>D280*D281+E280*E281+F280*F281+G280*G281+J280*J281+K278*K281+L280*L281+M280*M281+N278*N281+O280*O281+P278*P281+Q280*Q281+H280*H281+I280*I281</f>
        <v>1113</v>
      </c>
    </row>
    <row r="282" spans="1:19" s="4" customFormat="1" ht="15.75" thickBot="1" x14ac:dyDescent="0.3">
      <c r="A282" s="21">
        <v>46267</v>
      </c>
      <c r="B282" s="22">
        <v>1852</v>
      </c>
      <c r="C282" s="80"/>
      <c r="D282" s="52"/>
      <c r="E282" s="53">
        <v>42</v>
      </c>
      <c r="F282" s="52"/>
      <c r="G282" s="53"/>
      <c r="H282" s="53"/>
      <c r="I282" s="53">
        <v>10</v>
      </c>
      <c r="J282" s="52"/>
      <c r="K282" s="52"/>
      <c r="L282" s="52"/>
      <c r="M282" s="53"/>
      <c r="N282" s="52"/>
      <c r="O282" s="52"/>
      <c r="P282" s="52"/>
      <c r="Q282" s="52"/>
      <c r="R282" s="28">
        <f>D280*D282+E280*E282+F280*F282+G280*G282+J280*J282+L280*L282+K280*K282+M280*M282+N280*N282+O280*O282+P280*P282+Q280*Q282+H280*H282+I280*I282</f>
        <v>1383</v>
      </c>
    </row>
    <row r="283" spans="1:19" s="4" customFormat="1" ht="15.75" thickBot="1" x14ac:dyDescent="0.3">
      <c r="A283" s="27">
        <v>46268</v>
      </c>
      <c r="B283" s="22">
        <v>4807</v>
      </c>
      <c r="C283" s="80" t="s">
        <v>95</v>
      </c>
      <c r="D283" s="52"/>
      <c r="E283" s="53">
        <v>42</v>
      </c>
      <c r="F283" s="52"/>
      <c r="G283" s="53">
        <v>21</v>
      </c>
      <c r="H283" s="106"/>
      <c r="I283" s="53">
        <v>6</v>
      </c>
      <c r="J283" s="52"/>
      <c r="K283" s="52"/>
      <c r="L283" s="52"/>
      <c r="M283" s="53"/>
      <c r="N283" s="52"/>
      <c r="O283" s="52"/>
      <c r="P283" s="52"/>
      <c r="Q283" s="52"/>
      <c r="R283" s="28">
        <f>D281*D283+E280*E283+F281*F283+G280*G283+J281*J283+L281*L283+K281*K283+M280*M283+N281*N283+O281*O283+P281*P283+Q281*Q283+H281*H283+I280*I283</f>
        <v>1831.5</v>
      </c>
    </row>
    <row r="284" spans="1:19" s="4" customFormat="1" ht="15.75" thickBot="1" x14ac:dyDescent="0.3">
      <c r="A284" s="27">
        <v>46269</v>
      </c>
      <c r="B284" s="22">
        <v>2852</v>
      </c>
      <c r="C284" s="80" t="s">
        <v>96</v>
      </c>
      <c r="D284" s="52"/>
      <c r="E284" s="53">
        <v>21</v>
      </c>
      <c r="F284" s="52"/>
      <c r="G284" s="53"/>
      <c r="H284" s="106"/>
      <c r="I284" s="77"/>
      <c r="J284" s="52"/>
      <c r="K284" s="52"/>
      <c r="L284" s="52"/>
      <c r="M284" s="53"/>
      <c r="N284" s="52"/>
      <c r="O284" s="52"/>
      <c r="P284" s="52"/>
      <c r="Q284" s="52"/>
      <c r="R284" s="28">
        <f>D280*D284+E280*E284+F280*F284+G280*G284+J282*J284+L282*L284+K282*K284+M280*M284+N282*N284+O282*O284+P282*P284+Q282*Q284+H280*H284+I280*I284</f>
        <v>556.5</v>
      </c>
    </row>
    <row r="285" spans="1:19" s="4" customFormat="1" ht="15.75" thickBot="1" x14ac:dyDescent="0.3">
      <c r="A285" s="27"/>
      <c r="B285" s="22"/>
      <c r="C285" s="80"/>
      <c r="D285" s="52"/>
      <c r="E285" s="53"/>
      <c r="F285" s="52"/>
      <c r="G285" s="53"/>
      <c r="H285" s="150"/>
      <c r="I285" s="56"/>
      <c r="J285" s="52"/>
      <c r="K285" s="52"/>
      <c r="L285" s="52"/>
      <c r="M285" s="53"/>
      <c r="N285" s="52"/>
      <c r="O285" s="52"/>
      <c r="P285" s="52"/>
      <c r="Q285" s="52"/>
      <c r="R285" s="28">
        <f>D281*D285+E280*E285+F281*F285+G280*G285+J283*J285+L283*L285+K283*K285+M280*M285+N283*N285+O283*O285+P283*P285+Q283*Q285+H281*H285+I280*I285</f>
        <v>0</v>
      </c>
    </row>
    <row r="286" spans="1:19" s="4" customFormat="1" ht="15.75" thickBot="1" x14ac:dyDescent="0.3">
      <c r="A286" s="27"/>
      <c r="B286" s="22"/>
      <c r="C286" s="82"/>
      <c r="D286" s="52"/>
      <c r="E286" s="56"/>
      <c r="F286" s="56"/>
      <c r="G286" s="56"/>
      <c r="H286" s="56"/>
      <c r="I286" s="56"/>
      <c r="J286" s="52"/>
      <c r="K286" s="57"/>
      <c r="L286" s="52"/>
      <c r="M286" s="52"/>
      <c r="N286" s="52"/>
      <c r="O286" s="52"/>
      <c r="P286" s="52"/>
      <c r="Q286" s="52"/>
      <c r="R286" s="28">
        <f t="shared" ref="R286" si="35">D282*D286+E282*E286+F282*F286+G282*G286+J284*J286+L284*L286+K284*K286+M282*M286+N284*N286+O284*O286+P284*P286+Q284*Q286+H282*H286+I284*I286</f>
        <v>0</v>
      </c>
    </row>
    <row r="287" spans="1:19" s="4" customFormat="1" ht="15.75" thickBot="1" x14ac:dyDescent="0.3">
      <c r="A287" s="21"/>
      <c r="B287" s="22"/>
      <c r="C287" s="82"/>
      <c r="D287" s="56"/>
      <c r="E287" s="52"/>
      <c r="F287" s="52"/>
      <c r="G287" s="52"/>
      <c r="H287" s="56"/>
      <c r="I287" s="56"/>
      <c r="J287" s="52"/>
      <c r="K287" s="78"/>
      <c r="L287" s="52"/>
      <c r="M287" s="52"/>
      <c r="N287" s="52"/>
      <c r="O287" s="52"/>
      <c r="P287" s="52"/>
      <c r="Q287" s="52"/>
      <c r="R287" s="134">
        <f>D280*D287+E280*E287+F280*F287+G280*G287+J280*J287+K287*K280+L280*L287+M280*M287+N280*N287+O280*O287+P280*P287+Q280*Q287+H280*H287</f>
        <v>0</v>
      </c>
    </row>
    <row r="288" spans="1:19" s="4" customFormat="1" ht="15.75" thickBot="1" x14ac:dyDescent="0.3">
      <c r="A288" s="27"/>
      <c r="B288" s="22"/>
      <c r="C288" s="23"/>
      <c r="D288" s="52"/>
      <c r="E288" s="52"/>
      <c r="F288" s="52"/>
      <c r="G288" s="52"/>
      <c r="H288" s="56"/>
      <c r="I288" s="56"/>
      <c r="J288" s="52"/>
      <c r="K288" s="52"/>
      <c r="L288" s="52"/>
      <c r="M288" s="52"/>
      <c r="N288" s="52"/>
      <c r="O288" s="52"/>
      <c r="P288" s="52"/>
      <c r="Q288" s="52"/>
      <c r="R288" s="135">
        <f>D280*D288+E280*E288+F280*F288+G280*G288+J280*J288+K280*K288+L280*L288+M280*M288+N280*N288+O280*O288+P280*P288+Q280*Q288</f>
        <v>0</v>
      </c>
    </row>
    <row r="289" spans="1:18" s="4" customFormat="1" ht="15.75" thickBot="1" x14ac:dyDescent="0.3">
      <c r="A289" s="27"/>
      <c r="B289" s="22"/>
      <c r="C289" s="23"/>
      <c r="D289" s="52"/>
      <c r="E289" s="66"/>
      <c r="F289" s="66"/>
      <c r="G289" s="66"/>
      <c r="H289" s="84"/>
      <c r="I289" s="84"/>
      <c r="J289" s="66"/>
      <c r="K289" s="66"/>
      <c r="L289" s="52"/>
      <c r="M289" s="52"/>
      <c r="N289" s="52"/>
      <c r="O289" s="52"/>
      <c r="P289" s="52"/>
      <c r="Q289" s="52"/>
      <c r="R289" s="135">
        <f>D280*D289+E280*E289+F280*F289+G280*G289+J280*J289+K280*K289+L280*L289+M280*M289+N280*N289+O280*O289+P280*P289+Q280*Q289</f>
        <v>0</v>
      </c>
    </row>
    <row r="290" spans="1:18" s="4" customFormat="1" ht="15.75" thickBot="1" x14ac:dyDescent="0.3">
      <c r="A290" s="23"/>
      <c r="B290" s="85"/>
      <c r="C290" s="86"/>
      <c r="D290" s="52"/>
      <c r="E290" s="52"/>
      <c r="F290" s="52"/>
      <c r="G290" s="52"/>
      <c r="H290" s="52"/>
      <c r="I290" s="52"/>
      <c r="J290" s="52"/>
      <c r="K290" s="52"/>
      <c r="L290" s="87"/>
      <c r="M290" s="87"/>
      <c r="N290" s="87"/>
      <c r="O290" s="87"/>
      <c r="P290" s="87"/>
      <c r="Q290" s="61"/>
      <c r="R290" s="135">
        <f>D280*D290+E280*E290+F280*F290+G280*G290+J280*J290+K280*K290+L280*L290+M280*M290+N280*N290+O280*O290+P280*P290+Q280*Q290</f>
        <v>0</v>
      </c>
    </row>
    <row r="291" spans="1:18" s="4" customFormat="1" ht="15.75" thickBot="1" x14ac:dyDescent="0.3">
      <c r="A291" s="88"/>
      <c r="B291" s="89"/>
      <c r="C291" s="34"/>
      <c r="D291" s="35"/>
      <c r="E291" s="35"/>
      <c r="F291" s="35"/>
      <c r="G291" s="35"/>
      <c r="H291" s="35"/>
      <c r="I291" s="35"/>
      <c r="J291" s="35"/>
      <c r="K291" s="35"/>
      <c r="L291" s="90"/>
      <c r="M291" s="90"/>
      <c r="N291" s="90"/>
      <c r="O291" s="91" t="s">
        <v>32</v>
      </c>
      <c r="P291" s="92"/>
      <c r="Q291" s="39"/>
      <c r="R291" s="67">
        <f>SUM(R281:R290)</f>
        <v>4884</v>
      </c>
    </row>
    <row r="292" spans="1:18" s="4" customFormat="1" ht="15.75" thickBot="1" x14ac:dyDescent="0.3">
      <c r="A292" s="40" t="s">
        <v>33</v>
      </c>
      <c r="B292" s="40"/>
      <c r="C292" s="40"/>
      <c r="D292" s="41">
        <f t="shared" ref="D292:Q292" si="36">SUM(D281:D290)</f>
        <v>0</v>
      </c>
      <c r="E292" s="41">
        <f t="shared" si="36"/>
        <v>126</v>
      </c>
      <c r="F292" s="41">
        <f t="shared" si="36"/>
        <v>0</v>
      </c>
      <c r="G292" s="41">
        <f t="shared" si="36"/>
        <v>42</v>
      </c>
      <c r="H292" s="41">
        <f t="shared" si="36"/>
        <v>0</v>
      </c>
      <c r="I292" s="41">
        <f t="shared" si="36"/>
        <v>16</v>
      </c>
      <c r="J292" s="41">
        <f t="shared" si="36"/>
        <v>0</v>
      </c>
      <c r="K292" s="41">
        <f t="shared" si="36"/>
        <v>0</v>
      </c>
      <c r="L292" s="41">
        <f t="shared" si="36"/>
        <v>0</v>
      </c>
      <c r="M292" s="41">
        <f t="shared" si="36"/>
        <v>0</v>
      </c>
      <c r="N292" s="41">
        <f t="shared" si="36"/>
        <v>0</v>
      </c>
      <c r="O292" s="41">
        <f t="shared" si="36"/>
        <v>0</v>
      </c>
      <c r="P292" s="41">
        <f t="shared" si="36"/>
        <v>0</v>
      </c>
      <c r="Q292" s="41">
        <f t="shared" si="36"/>
        <v>0</v>
      </c>
      <c r="R292" s="69">
        <f>SUM(D292:E292:F292:G292:J292:K292:L292:M292:N292:O292:P292:Q292)</f>
        <v>184</v>
      </c>
    </row>
    <row r="293" spans="1:18" s="4" customFormat="1" ht="15.75" thickBot="1" x14ac:dyDescent="0.3">
      <c r="A293" s="43" t="s">
        <v>34</v>
      </c>
      <c r="B293" s="43"/>
      <c r="C293" s="43"/>
      <c r="D293" s="44">
        <f t="shared" ref="D293:Q293" si="37">D280*D292</f>
        <v>0</v>
      </c>
      <c r="E293" s="44">
        <f t="shared" si="37"/>
        <v>3339</v>
      </c>
      <c r="F293" s="44">
        <f t="shared" si="37"/>
        <v>0</v>
      </c>
      <c r="G293" s="44">
        <f t="shared" si="37"/>
        <v>1113</v>
      </c>
      <c r="H293" s="44">
        <f t="shared" si="37"/>
        <v>0</v>
      </c>
      <c r="I293" s="44">
        <f t="shared" si="37"/>
        <v>432</v>
      </c>
      <c r="J293" s="44">
        <f t="shared" si="37"/>
        <v>0</v>
      </c>
      <c r="K293" s="44">
        <f t="shared" si="37"/>
        <v>0</v>
      </c>
      <c r="L293" s="44">
        <f t="shared" si="37"/>
        <v>0</v>
      </c>
      <c r="M293" s="44">
        <f t="shared" si="37"/>
        <v>0</v>
      </c>
      <c r="N293" s="44">
        <f t="shared" si="37"/>
        <v>0</v>
      </c>
      <c r="O293" s="44">
        <f t="shared" si="37"/>
        <v>0</v>
      </c>
      <c r="P293" s="44">
        <f t="shared" si="37"/>
        <v>0</v>
      </c>
      <c r="Q293" s="44">
        <f t="shared" si="37"/>
        <v>0</v>
      </c>
      <c r="R293" s="45">
        <f>SUM(D293:Q293)</f>
        <v>4884</v>
      </c>
    </row>
    <row r="296" spans="1:18" s="4" customFormat="1" ht="15.75" thickBot="1" x14ac:dyDescent="0.3">
      <c r="A296" s="1" t="s">
        <v>97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3"/>
    </row>
    <row r="297" spans="1:18" s="4" customFormat="1" ht="15.75" thickBot="1" x14ac:dyDescent="0.3">
      <c r="A297" s="5" t="s">
        <v>1</v>
      </c>
      <c r="B297" s="5" t="s">
        <v>2</v>
      </c>
      <c r="C297" s="6" t="s">
        <v>3</v>
      </c>
      <c r="D297" s="46" t="s">
        <v>36</v>
      </c>
      <c r="E297" s="8" t="s">
        <v>5</v>
      </c>
      <c r="F297" s="8" t="s">
        <v>37</v>
      </c>
      <c r="G297" s="8" t="s">
        <v>7</v>
      </c>
      <c r="H297" s="8" t="s">
        <v>45</v>
      </c>
      <c r="I297" s="148" t="s">
        <v>57</v>
      </c>
      <c r="J297" s="8" t="s">
        <v>89</v>
      </c>
      <c r="K297" s="10" t="s">
        <v>38</v>
      </c>
      <c r="L297" s="10" t="s">
        <v>39</v>
      </c>
      <c r="M297" s="10" t="s">
        <v>13</v>
      </c>
      <c r="N297" s="11" t="s">
        <v>14</v>
      </c>
      <c r="O297" s="11" t="s">
        <v>48</v>
      </c>
      <c r="P297" s="11">
        <v>0.8</v>
      </c>
      <c r="Q297" s="11" t="s">
        <v>49</v>
      </c>
      <c r="R297" s="151" t="s">
        <v>17</v>
      </c>
    </row>
    <row r="298" spans="1:18" s="4" customFormat="1" ht="15.75" thickBot="1" x14ac:dyDescent="0.3">
      <c r="A298" s="13"/>
      <c r="B298" s="13"/>
      <c r="C298" s="70"/>
      <c r="D298" s="48">
        <v>24</v>
      </c>
      <c r="E298" s="16">
        <v>26.5</v>
      </c>
      <c r="F298" s="18">
        <v>24</v>
      </c>
      <c r="G298" s="16">
        <v>26.5</v>
      </c>
      <c r="H298" s="71">
        <v>24</v>
      </c>
      <c r="I298" s="16">
        <v>27</v>
      </c>
      <c r="J298" s="71">
        <v>26.5</v>
      </c>
      <c r="K298" s="18">
        <v>24</v>
      </c>
      <c r="L298" s="18">
        <v>20</v>
      </c>
      <c r="M298" s="16">
        <v>22</v>
      </c>
      <c r="N298" s="18">
        <v>24</v>
      </c>
      <c r="O298" s="19">
        <v>24</v>
      </c>
      <c r="P298" s="19">
        <v>26.5</v>
      </c>
      <c r="Q298" s="19">
        <v>24</v>
      </c>
      <c r="R298" s="152"/>
    </row>
    <row r="299" spans="1:18" s="4" customFormat="1" ht="15.75" thickBot="1" x14ac:dyDescent="0.3">
      <c r="A299" s="21">
        <v>46265</v>
      </c>
      <c r="B299" s="74">
        <v>5032</v>
      </c>
      <c r="C299" s="75" t="s">
        <v>98</v>
      </c>
      <c r="D299" s="52"/>
      <c r="E299" s="53">
        <v>20</v>
      </c>
      <c r="F299" s="52"/>
      <c r="G299" s="53">
        <v>30</v>
      </c>
      <c r="H299" s="53"/>
      <c r="I299" s="77"/>
      <c r="J299" s="52"/>
      <c r="K299" s="52"/>
      <c r="L299" s="78"/>
      <c r="M299" s="52"/>
      <c r="N299" s="52"/>
      <c r="O299" s="78"/>
      <c r="P299" s="52"/>
      <c r="Q299" s="52"/>
      <c r="R299" s="134">
        <f>D298*D299+E298*E299+F298*F299+G298*G299+J298*J299+K296*K299+L298*L299+M298*M299+N296*N299+O298*O299+P296*P299+Q298*Q299+H298*H299</f>
        <v>1325</v>
      </c>
    </row>
    <row r="300" spans="1:18" s="4" customFormat="1" ht="15.75" thickBot="1" x14ac:dyDescent="0.3">
      <c r="A300" s="27">
        <v>46267</v>
      </c>
      <c r="B300" s="22">
        <v>3428</v>
      </c>
      <c r="C300" s="80" t="s">
        <v>99</v>
      </c>
      <c r="D300" s="52"/>
      <c r="E300" s="53">
        <v>59</v>
      </c>
      <c r="F300" s="52"/>
      <c r="G300" s="53"/>
      <c r="H300" s="56"/>
      <c r="I300" s="77"/>
      <c r="J300" s="52"/>
      <c r="K300" s="52"/>
      <c r="L300" s="52"/>
      <c r="M300" s="52"/>
      <c r="N300" s="52"/>
      <c r="O300" s="52"/>
      <c r="P300" s="52"/>
      <c r="Q300" s="52"/>
      <c r="R300" s="28">
        <f>D298*D300+E298*E300+F298*F300+G298*G300+J298*J300+L298*L300+K298*K300+M298*M300+N298*N300+O298*O300+P298*P300+Q298*Q300+H298*H300+I298*I300</f>
        <v>1563.5</v>
      </c>
    </row>
    <row r="301" spans="1:18" s="4" customFormat="1" ht="15.75" thickBot="1" x14ac:dyDescent="0.3">
      <c r="A301" s="21">
        <v>46268</v>
      </c>
      <c r="B301" s="22">
        <v>14204</v>
      </c>
      <c r="C301" s="80" t="s">
        <v>98</v>
      </c>
      <c r="D301" s="52"/>
      <c r="E301" s="53">
        <v>40</v>
      </c>
      <c r="F301" s="52"/>
      <c r="G301" s="53">
        <v>20</v>
      </c>
      <c r="H301" s="56"/>
      <c r="I301" s="53">
        <v>20</v>
      </c>
      <c r="J301" s="52"/>
      <c r="K301" s="52"/>
      <c r="L301" s="52"/>
      <c r="M301" s="53"/>
      <c r="N301" s="52"/>
      <c r="O301" s="52"/>
      <c r="P301" s="52"/>
      <c r="Q301" s="52"/>
      <c r="R301" s="28">
        <f>D298*D301+E298*E301+F298*F301+G298*G301+J299*J301+L299*L301+K299*K301+M298*M301+N299*N301+O299*O301+P298*P301+Q299*Q301+H298*H301+I298*I301</f>
        <v>2130</v>
      </c>
    </row>
    <row r="302" spans="1:18" s="4" customFormat="1" ht="15.75" thickBot="1" x14ac:dyDescent="0.3">
      <c r="A302" s="27"/>
      <c r="B302" s="22"/>
      <c r="C302" s="80"/>
      <c r="D302" s="52"/>
      <c r="E302" s="53"/>
      <c r="F302" s="52"/>
      <c r="G302" s="53"/>
      <c r="H302" s="157"/>
      <c r="I302" s="77"/>
      <c r="J302" s="52"/>
      <c r="K302" s="52"/>
      <c r="L302" s="52"/>
      <c r="M302" s="52"/>
      <c r="N302" s="52"/>
      <c r="O302" s="52"/>
      <c r="P302" s="52"/>
      <c r="Q302" s="52"/>
      <c r="R302" s="28">
        <f>D298*D302+E298*E302+F298*F302+G298*G302+J298*J302+L298*L302+K298*K302+M298*M302+N298*N302+O298*O302+P298*P302+Q298*Q302+H298*H302+I298*I302</f>
        <v>0</v>
      </c>
    </row>
    <row r="303" spans="1:18" s="4" customFormat="1" ht="15.75" thickBot="1" x14ac:dyDescent="0.3">
      <c r="A303" s="27"/>
      <c r="B303" s="22"/>
      <c r="C303" s="80"/>
      <c r="D303" s="52"/>
      <c r="E303" s="76"/>
      <c r="F303" s="52"/>
      <c r="G303" s="76"/>
      <c r="H303" s="157"/>
      <c r="I303" s="77"/>
      <c r="J303" s="52"/>
      <c r="K303" s="52"/>
      <c r="L303" s="52"/>
      <c r="M303" s="52"/>
      <c r="N303" s="52"/>
      <c r="O303" s="52"/>
      <c r="P303" s="52"/>
      <c r="Q303" s="52"/>
      <c r="R303" s="28">
        <f t="shared" ref="R303:R305" si="38">D301*D303+E301*E303+F301*F303+G301*G303+J301*J303+L301*L303+K301*K303+M301*M303+N301*N303+O301*O303+P301*P303+Q301*Q303+H301*H303+I301*I303</f>
        <v>0</v>
      </c>
    </row>
    <row r="304" spans="1:18" s="4" customFormat="1" ht="15.75" thickBot="1" x14ac:dyDescent="0.3">
      <c r="A304" s="27"/>
      <c r="B304" s="22"/>
      <c r="C304" s="82"/>
      <c r="D304" s="52"/>
      <c r="E304" s="56"/>
      <c r="F304" s="56"/>
      <c r="G304" s="56"/>
      <c r="H304" s="157"/>
      <c r="I304" s="56"/>
      <c r="J304" s="52"/>
      <c r="K304" s="57"/>
      <c r="L304" s="52"/>
      <c r="M304" s="52"/>
      <c r="N304" s="52"/>
      <c r="O304" s="52"/>
      <c r="P304" s="52"/>
      <c r="Q304" s="52"/>
      <c r="R304" s="28">
        <f t="shared" si="38"/>
        <v>0</v>
      </c>
    </row>
    <row r="305" spans="1:18" s="4" customFormat="1" ht="15.75" thickBot="1" x14ac:dyDescent="0.3">
      <c r="A305" s="21"/>
      <c r="B305" s="22"/>
      <c r="C305" s="82"/>
      <c r="D305" s="56"/>
      <c r="E305" s="52"/>
      <c r="F305" s="52"/>
      <c r="G305" s="52"/>
      <c r="H305" s="157"/>
      <c r="I305" s="56"/>
      <c r="J305" s="52"/>
      <c r="K305" s="78"/>
      <c r="L305" s="52"/>
      <c r="M305" s="52"/>
      <c r="N305" s="52"/>
      <c r="O305" s="52"/>
      <c r="P305" s="52"/>
      <c r="Q305" s="52"/>
      <c r="R305" s="28">
        <f t="shared" si="38"/>
        <v>0</v>
      </c>
    </row>
    <row r="306" spans="1:18" s="4" customFormat="1" ht="15.75" thickBot="1" x14ac:dyDescent="0.3">
      <c r="A306" s="27"/>
      <c r="B306" s="22"/>
      <c r="C306" s="23"/>
      <c r="D306" s="52"/>
      <c r="E306" s="52"/>
      <c r="F306" s="52"/>
      <c r="G306" s="52"/>
      <c r="H306" s="157"/>
      <c r="I306" s="56"/>
      <c r="J306" s="52"/>
      <c r="K306" s="52"/>
      <c r="L306" s="52"/>
      <c r="M306" s="52"/>
      <c r="N306" s="52"/>
      <c r="O306" s="52"/>
      <c r="P306" s="52"/>
      <c r="Q306" s="52"/>
      <c r="R306" s="135">
        <f>D298*D306+E298*E306+F298*F306+G298*G306+J298*J306+K298*K306+L298*L306+M298*M306+N298*N306+O298*O306+P298*P306+Q298*Q306</f>
        <v>0</v>
      </c>
    </row>
    <row r="307" spans="1:18" s="4" customFormat="1" ht="15.75" thickBot="1" x14ac:dyDescent="0.3">
      <c r="A307" s="27"/>
      <c r="B307" s="22"/>
      <c r="C307" s="23"/>
      <c r="D307" s="52"/>
      <c r="E307" s="66"/>
      <c r="F307" s="66"/>
      <c r="G307" s="66"/>
      <c r="H307" s="84"/>
      <c r="I307" s="84"/>
      <c r="J307" s="66"/>
      <c r="K307" s="66"/>
      <c r="L307" s="52"/>
      <c r="M307" s="52"/>
      <c r="N307" s="52"/>
      <c r="O307" s="52"/>
      <c r="P307" s="52"/>
      <c r="Q307" s="52"/>
      <c r="R307" s="135">
        <f>D298*D307+E298*E307+F298*F307+G298*G307+J298*J307+K298*K307+L298*L307+M298*M307+N298*N307+O298*O307+P298*P307+Q298*Q307</f>
        <v>0</v>
      </c>
    </row>
    <row r="308" spans="1:18" s="4" customFormat="1" ht="15.75" thickBot="1" x14ac:dyDescent="0.3">
      <c r="A308" s="23"/>
      <c r="B308" s="85"/>
      <c r="C308" s="86"/>
      <c r="D308" s="52"/>
      <c r="E308" s="52"/>
      <c r="F308" s="52"/>
      <c r="G308" s="52"/>
      <c r="H308" s="52"/>
      <c r="I308" s="52"/>
      <c r="J308" s="52"/>
      <c r="K308" s="52"/>
      <c r="L308" s="87"/>
      <c r="M308" s="87"/>
      <c r="N308" s="87"/>
      <c r="O308" s="87"/>
      <c r="P308" s="87"/>
      <c r="Q308" s="61"/>
      <c r="R308" s="135">
        <f>D298*D308+E298*E308+F298*F308+G298*G308+J298*J308+K298*K308+L298*L308+M298*M308+N298*N308+O298*O308+P298*P308+Q298*Q308</f>
        <v>0</v>
      </c>
    </row>
    <row r="309" spans="1:18" s="4" customFormat="1" ht="15.75" thickBot="1" x14ac:dyDescent="0.3">
      <c r="A309" s="158"/>
      <c r="B309" s="159"/>
      <c r="C309" s="34"/>
      <c r="D309" s="35"/>
      <c r="E309" s="35"/>
      <c r="F309" s="35"/>
      <c r="G309" s="35"/>
      <c r="H309" s="35"/>
      <c r="I309" s="35"/>
      <c r="J309" s="35"/>
      <c r="K309" s="35"/>
      <c r="L309" s="90"/>
      <c r="M309" s="90"/>
      <c r="N309" s="90"/>
      <c r="O309" s="160" t="s">
        <v>32</v>
      </c>
      <c r="P309" s="161"/>
      <c r="Q309" s="162"/>
      <c r="R309" s="67">
        <f>SUM(R299:R308)</f>
        <v>5018.5</v>
      </c>
    </row>
    <row r="310" spans="1:18" s="4" customFormat="1" ht="15.75" thickBot="1" x14ac:dyDescent="0.3">
      <c r="A310" s="40" t="s">
        <v>33</v>
      </c>
      <c r="B310" s="40"/>
      <c r="C310" s="40"/>
      <c r="D310" s="41">
        <f>SUM(D299:D308)</f>
        <v>0</v>
      </c>
      <c r="E310" s="41">
        <f>SUM(E299:E308)</f>
        <v>119</v>
      </c>
      <c r="F310" s="41">
        <f>SUM(F299:F308)</f>
        <v>0</v>
      </c>
      <c r="G310" s="41">
        <f>SUM(G299:G308)</f>
        <v>50</v>
      </c>
      <c r="H310" s="163">
        <f>H299+H300+H301+H302+H303+H304+H305+H306+H307+H308</f>
        <v>0</v>
      </c>
      <c r="I310" s="41">
        <f>SUM(I299:I308)</f>
        <v>20</v>
      </c>
      <c r="J310" s="41">
        <f t="shared" ref="J310:Q310" si="39">SUM(J299:J308)</f>
        <v>0</v>
      </c>
      <c r="K310" s="41">
        <f t="shared" si="39"/>
        <v>0</v>
      </c>
      <c r="L310" s="41">
        <f t="shared" si="39"/>
        <v>0</v>
      </c>
      <c r="M310" s="41">
        <f t="shared" si="39"/>
        <v>0</v>
      </c>
      <c r="N310" s="41">
        <f t="shared" si="39"/>
        <v>0</v>
      </c>
      <c r="O310" s="41">
        <f t="shared" si="39"/>
        <v>0</v>
      </c>
      <c r="P310" s="41">
        <f t="shared" si="39"/>
        <v>0</v>
      </c>
      <c r="Q310" s="41">
        <f t="shared" si="39"/>
        <v>0</v>
      </c>
      <c r="R310" s="69">
        <f>SUM(D310:E310:F310:G310:J310:K310:L310:M310:N310:O310:P310:Q310)</f>
        <v>189</v>
      </c>
    </row>
    <row r="311" spans="1:18" s="4" customFormat="1" ht="15.75" thickBot="1" x14ac:dyDescent="0.3">
      <c r="A311" s="43" t="s">
        <v>34</v>
      </c>
      <c r="B311" s="43"/>
      <c r="C311" s="43"/>
      <c r="D311" s="44">
        <f t="shared" ref="D311:Q311" si="40">D298*D310</f>
        <v>0</v>
      </c>
      <c r="E311" s="44">
        <f t="shared" si="40"/>
        <v>3153.5</v>
      </c>
      <c r="F311" s="44">
        <f t="shared" si="40"/>
        <v>0</v>
      </c>
      <c r="G311" s="44">
        <f t="shared" si="40"/>
        <v>1325</v>
      </c>
      <c r="H311" s="44">
        <f t="shared" si="40"/>
        <v>0</v>
      </c>
      <c r="I311" s="44">
        <f t="shared" si="40"/>
        <v>540</v>
      </c>
      <c r="J311" s="44">
        <f t="shared" si="40"/>
        <v>0</v>
      </c>
      <c r="K311" s="44">
        <f t="shared" si="40"/>
        <v>0</v>
      </c>
      <c r="L311" s="44">
        <f t="shared" si="40"/>
        <v>0</v>
      </c>
      <c r="M311" s="44">
        <f t="shared" si="40"/>
        <v>0</v>
      </c>
      <c r="N311" s="44">
        <f t="shared" si="40"/>
        <v>0</v>
      </c>
      <c r="O311" s="44">
        <f t="shared" si="40"/>
        <v>0</v>
      </c>
      <c r="P311" s="44">
        <f t="shared" si="40"/>
        <v>0</v>
      </c>
      <c r="Q311" s="44">
        <f t="shared" si="40"/>
        <v>0</v>
      </c>
      <c r="R311" s="45">
        <f>SUM(D311:Q311)</f>
        <v>5018.5</v>
      </c>
    </row>
    <row r="314" spans="1:18" s="4" customFormat="1" ht="15.75" thickBot="1" x14ac:dyDescent="0.3">
      <c r="A314" s="1" t="s">
        <v>100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3"/>
    </row>
    <row r="315" spans="1:18" s="4" customFormat="1" ht="15.75" thickBot="1" x14ac:dyDescent="0.3">
      <c r="A315" s="5" t="s">
        <v>1</v>
      </c>
      <c r="B315" s="5" t="s">
        <v>2</v>
      </c>
      <c r="C315" s="6" t="s">
        <v>3</v>
      </c>
      <c r="D315" s="46" t="s">
        <v>36</v>
      </c>
      <c r="E315" s="8" t="s">
        <v>5</v>
      </c>
      <c r="F315" s="8" t="s">
        <v>37</v>
      </c>
      <c r="G315" s="8" t="s">
        <v>57</v>
      </c>
      <c r="H315" s="8" t="s">
        <v>45</v>
      </c>
      <c r="I315" s="148" t="s">
        <v>47</v>
      </c>
      <c r="J315" s="8" t="s">
        <v>89</v>
      </c>
      <c r="K315" s="10" t="s">
        <v>38</v>
      </c>
      <c r="L315" s="10" t="s">
        <v>39</v>
      </c>
      <c r="M315" s="10" t="s">
        <v>13</v>
      </c>
      <c r="N315" s="11" t="s">
        <v>14</v>
      </c>
      <c r="O315" s="11" t="s">
        <v>48</v>
      </c>
      <c r="P315" s="11" t="s">
        <v>16</v>
      </c>
      <c r="Q315" s="11" t="s">
        <v>49</v>
      </c>
      <c r="R315" s="12" t="s">
        <v>17</v>
      </c>
    </row>
    <row r="316" spans="1:18" s="4" customFormat="1" ht="15.75" thickBot="1" x14ac:dyDescent="0.3">
      <c r="A316" s="13"/>
      <c r="B316" s="13"/>
      <c r="C316" s="70"/>
      <c r="D316" s="48">
        <v>24</v>
      </c>
      <c r="E316" s="16">
        <v>26.5</v>
      </c>
      <c r="F316" s="18">
        <v>24</v>
      </c>
      <c r="G316" s="16">
        <v>27</v>
      </c>
      <c r="H316" s="71">
        <v>24.5</v>
      </c>
      <c r="I316" s="71">
        <v>24</v>
      </c>
      <c r="J316" s="71">
        <v>26.5</v>
      </c>
      <c r="K316" s="18">
        <v>24</v>
      </c>
      <c r="L316" s="18">
        <v>20</v>
      </c>
      <c r="M316" s="16">
        <v>22</v>
      </c>
      <c r="N316" s="18">
        <v>24</v>
      </c>
      <c r="O316" s="19">
        <v>24</v>
      </c>
      <c r="P316" s="19">
        <v>17.5</v>
      </c>
      <c r="Q316" s="19">
        <v>24</v>
      </c>
      <c r="R316" s="20"/>
    </row>
    <row r="317" spans="1:18" s="4" customFormat="1" ht="15.75" thickBot="1" x14ac:dyDescent="0.3">
      <c r="A317" s="21">
        <v>46265</v>
      </c>
      <c r="B317" s="74">
        <v>4279</v>
      </c>
      <c r="C317" s="75"/>
      <c r="D317" s="52"/>
      <c r="E317" s="53">
        <v>50</v>
      </c>
      <c r="F317" s="52"/>
      <c r="G317" s="76">
        <v>5</v>
      </c>
      <c r="H317" s="77"/>
      <c r="I317" s="77"/>
      <c r="J317" s="52"/>
      <c r="K317" s="52"/>
      <c r="L317" s="78"/>
      <c r="M317" s="53"/>
      <c r="N317" s="52"/>
      <c r="O317" s="78"/>
      <c r="P317" s="52"/>
      <c r="Q317" s="52"/>
      <c r="R317" s="134">
        <f>D316*D317+E316*E317+F316*F317+G316*G317+J316*J317+K316*K317+L316*L317+M316*M317+N316*N317+O316*O317+P316*P317+Q316*Q317+H316*H317</f>
        <v>1460</v>
      </c>
    </row>
    <row r="318" spans="1:18" s="4" customFormat="1" ht="15.75" thickBot="1" x14ac:dyDescent="0.3">
      <c r="A318" s="21">
        <v>46266</v>
      </c>
      <c r="B318" s="22" t="s">
        <v>101</v>
      </c>
      <c r="C318" s="80"/>
      <c r="D318" s="52"/>
      <c r="E318" s="53">
        <v>60</v>
      </c>
      <c r="F318" s="52"/>
      <c r="G318" s="53">
        <v>10</v>
      </c>
      <c r="H318" s="77"/>
      <c r="I318" s="77"/>
      <c r="J318" s="52"/>
      <c r="K318" s="52"/>
      <c r="L318" s="52"/>
      <c r="M318" s="52">
        <v>10</v>
      </c>
      <c r="N318" s="52"/>
      <c r="O318" s="52"/>
      <c r="P318" s="52"/>
      <c r="Q318" s="52"/>
      <c r="R318" s="28">
        <f>D316*D318+E316*E318+F316*F318+G316*G318+J316*J318+L316*L318+K316*K318+M316*M318+N316*N318+O316*O318+P316*P318+Q316*Q318+H316*H318+I316*I318</f>
        <v>2080</v>
      </c>
    </row>
    <row r="319" spans="1:18" s="4" customFormat="1" ht="15.75" thickBot="1" x14ac:dyDescent="0.3">
      <c r="A319" s="27">
        <v>46267</v>
      </c>
      <c r="B319" s="22">
        <v>4298</v>
      </c>
      <c r="C319" s="80"/>
      <c r="D319" s="52"/>
      <c r="E319" s="53">
        <v>50</v>
      </c>
      <c r="F319" s="52"/>
      <c r="G319" s="76"/>
      <c r="H319" s="77"/>
      <c r="I319" s="77"/>
      <c r="J319" s="52"/>
      <c r="K319" s="52"/>
      <c r="L319" s="52"/>
      <c r="M319" s="52"/>
      <c r="N319" s="52"/>
      <c r="O319" s="52"/>
      <c r="P319" s="52"/>
      <c r="Q319" s="52"/>
      <c r="R319" s="26">
        <f>D316*D319+E316*E319+F316*F319+G316*G319+J316*J319+L316*L319+K316*K319+M316*M319+N316*N319+O316*O319+P316*P319+Q316*Q319+H316*H319+I316*I319</f>
        <v>1325</v>
      </c>
    </row>
    <row r="320" spans="1:18" s="4" customFormat="1" ht="15.75" thickBot="1" x14ac:dyDescent="0.3">
      <c r="A320" s="21">
        <v>46268</v>
      </c>
      <c r="B320" s="22">
        <v>5551</v>
      </c>
      <c r="C320" s="80"/>
      <c r="D320" s="52"/>
      <c r="E320" s="53">
        <v>60</v>
      </c>
      <c r="F320" s="52"/>
      <c r="G320" s="53"/>
      <c r="H320" s="77"/>
      <c r="I320" s="77"/>
      <c r="J320" s="52"/>
      <c r="K320" s="52"/>
      <c r="L320" s="52"/>
      <c r="M320" s="52"/>
      <c r="N320" s="52"/>
      <c r="O320" s="52"/>
      <c r="P320" s="52"/>
      <c r="Q320" s="52"/>
      <c r="R320" s="28">
        <f>D316*D320+E316*E320+F316*F320+G316*G320+J316*J320+L316*L320+K316*K320+M316*M320+N316*N320+O316*O320+P316*P320+Q316*Q320+H316*H320+I316*I320</f>
        <v>1590</v>
      </c>
    </row>
    <row r="321" spans="1:19" s="4" customFormat="1" ht="15.75" thickBot="1" x14ac:dyDescent="0.3">
      <c r="A321" s="27">
        <v>46269</v>
      </c>
      <c r="B321" s="22">
        <v>5580</v>
      </c>
      <c r="C321" s="80"/>
      <c r="D321" s="52"/>
      <c r="E321" s="53">
        <v>60</v>
      </c>
      <c r="F321" s="53"/>
      <c r="G321" s="53">
        <v>15</v>
      </c>
      <c r="H321" s="77"/>
      <c r="I321" s="77"/>
      <c r="J321" s="52"/>
      <c r="K321" s="52"/>
      <c r="L321" s="52"/>
      <c r="M321" s="52"/>
      <c r="N321" s="52"/>
      <c r="O321" s="52"/>
      <c r="P321" s="52"/>
      <c r="Q321" s="52"/>
      <c r="R321" s="28">
        <f>D316*D321+E316*E321+F316*F321+G316*G321+J316*J321+L316*L321+K316*K321+M316*M321+N316*N321+O316*O321+P316*P321+Q316*Q321+H316*H321+I316*I321</f>
        <v>1995</v>
      </c>
    </row>
    <row r="322" spans="1:19" s="4" customFormat="1" ht="15.75" thickBot="1" x14ac:dyDescent="0.3">
      <c r="A322" s="27">
        <v>46270</v>
      </c>
      <c r="B322" s="22">
        <v>5502</v>
      </c>
      <c r="C322" s="82"/>
      <c r="D322" s="52"/>
      <c r="E322" s="53">
        <v>160</v>
      </c>
      <c r="F322" s="53"/>
      <c r="G322" s="53"/>
      <c r="H322" s="56"/>
      <c r="I322" s="52"/>
      <c r="J322" s="57"/>
      <c r="L322" s="52"/>
      <c r="M322" s="52"/>
      <c r="N322" s="52"/>
      <c r="O322" s="52"/>
      <c r="P322" s="52"/>
      <c r="Q322" s="52"/>
      <c r="R322" s="134">
        <f>D316*D322+E316*E322+F316*F322+G316*G322+J316*I322+K316*J322+L316*L322+M316*M322+N316*N322+O316*O322+P316*P322+Q316*Q322+H316*H322</f>
        <v>4240</v>
      </c>
    </row>
    <row r="323" spans="1:19" s="4" customFormat="1" ht="15.75" thickBot="1" x14ac:dyDescent="0.3">
      <c r="A323" s="21"/>
      <c r="B323" s="22"/>
      <c r="C323" s="82"/>
      <c r="D323" s="56"/>
      <c r="E323" s="52"/>
      <c r="F323" s="52"/>
      <c r="G323" s="52"/>
      <c r="H323" s="56"/>
      <c r="I323" s="56"/>
      <c r="J323" s="52"/>
      <c r="K323" s="78"/>
      <c r="L323" s="52"/>
      <c r="M323" s="52"/>
      <c r="N323" s="52"/>
      <c r="O323" s="52"/>
      <c r="P323" s="52"/>
      <c r="Q323" s="52"/>
      <c r="R323" s="134">
        <f>D316*D323+E316*E323+F316*F323+G316*G323+J316*J323+K323*K316+L316*L323+M316*M323+N316*N323+O316*O323+P316*P323+Q316*Q323+H316*H323</f>
        <v>0</v>
      </c>
    </row>
    <row r="324" spans="1:19" s="4" customFormat="1" ht="15.75" thickBot="1" x14ac:dyDescent="0.3">
      <c r="A324" s="27"/>
      <c r="B324" s="22"/>
      <c r="C324" s="23"/>
      <c r="D324" s="52"/>
      <c r="E324" s="52"/>
      <c r="F324" s="52"/>
      <c r="G324" s="52"/>
      <c r="H324" s="56"/>
      <c r="I324" s="56"/>
      <c r="J324" s="52"/>
      <c r="K324" s="52"/>
      <c r="L324" s="52"/>
      <c r="M324" s="52"/>
      <c r="N324" s="52"/>
      <c r="O324" s="52"/>
      <c r="P324" s="52"/>
      <c r="Q324" s="52"/>
      <c r="R324" s="135">
        <f>D316*D324+E316*E324+F316*F324+G316*G324+J316*J324+K316*K324+L316*L324+M316*M324+N316*N324+O316*O324+P316*P324+Q316*Q324</f>
        <v>0</v>
      </c>
    </row>
    <row r="325" spans="1:19" s="4" customFormat="1" ht="15.75" thickBot="1" x14ac:dyDescent="0.3">
      <c r="A325" s="27"/>
      <c r="B325" s="22"/>
      <c r="C325" s="23"/>
      <c r="D325" s="52"/>
      <c r="E325" s="66"/>
      <c r="F325" s="66"/>
      <c r="G325" s="66"/>
      <c r="H325" s="84"/>
      <c r="I325" s="84"/>
      <c r="J325" s="66"/>
      <c r="K325" s="66"/>
      <c r="L325" s="52"/>
      <c r="M325" s="52"/>
      <c r="N325" s="52"/>
      <c r="O325" s="52"/>
      <c r="P325" s="52"/>
      <c r="Q325" s="52"/>
      <c r="R325" s="135">
        <f>D316*D325+E316*E325+F316*F325+G316*G325+J316*J325+K316*K325+L316*L325+M316*M325+N316*N325+O316*O325+P316*P325+Q316*Q325</f>
        <v>0</v>
      </c>
    </row>
    <row r="326" spans="1:19" s="4" customFormat="1" ht="15.75" thickBot="1" x14ac:dyDescent="0.3">
      <c r="A326" s="23"/>
      <c r="B326" s="85"/>
      <c r="C326" s="86"/>
      <c r="D326" s="52"/>
      <c r="E326" s="52"/>
      <c r="F326" s="52"/>
      <c r="G326" s="52"/>
      <c r="H326" s="52"/>
      <c r="I326" s="52"/>
      <c r="J326" s="52"/>
      <c r="K326" s="52"/>
      <c r="L326" s="87"/>
      <c r="M326" s="87"/>
      <c r="N326" s="87"/>
      <c r="O326" s="87"/>
      <c r="P326" s="87"/>
      <c r="Q326" s="61"/>
      <c r="R326" s="135">
        <f>D316*D326+E316*E326+F316*F326+G316*G326+J316*J326+K316*K326+L316*L326+M316*M326+N316*N326+O316*O326+P316*P326+Q316*Q326</f>
        <v>0</v>
      </c>
    </row>
    <row r="327" spans="1:19" s="4" customFormat="1" ht="15.75" thickBot="1" x14ac:dyDescent="0.3">
      <c r="A327" s="88"/>
      <c r="B327" s="89"/>
      <c r="C327" s="34"/>
      <c r="D327" s="35"/>
      <c r="E327" s="35"/>
      <c r="F327" s="35"/>
      <c r="G327" s="35"/>
      <c r="H327" s="35"/>
      <c r="I327" s="35"/>
      <c r="J327" s="35"/>
      <c r="K327" s="35"/>
      <c r="L327" s="90"/>
      <c r="M327" s="90"/>
      <c r="N327" s="90"/>
      <c r="O327" s="91" t="s">
        <v>32</v>
      </c>
      <c r="P327" s="92"/>
      <c r="Q327" s="39"/>
      <c r="R327" s="67">
        <f>SUM(R317:R326)</f>
        <v>12690</v>
      </c>
    </row>
    <row r="328" spans="1:19" s="4" customFormat="1" ht="15.75" thickBot="1" x14ac:dyDescent="0.3">
      <c r="A328" s="40" t="s">
        <v>33</v>
      </c>
      <c r="B328" s="40"/>
      <c r="C328" s="40"/>
      <c r="D328" s="41">
        <f>SUM(D317:D326)</f>
        <v>0</v>
      </c>
      <c r="E328" s="41">
        <f>SUM(E317:E326)</f>
        <v>440</v>
      </c>
      <c r="F328" s="41">
        <f>SUM(F317:F326)</f>
        <v>0</v>
      </c>
      <c r="G328" s="41">
        <f>SUM(G317:G326)</f>
        <v>30</v>
      </c>
      <c r="H328" s="41">
        <f>SUM(H317:H326)</f>
        <v>0</v>
      </c>
      <c r="I328" s="41"/>
      <c r="J328" s="41">
        <f t="shared" ref="J328:Q328" si="41">SUM(J317:J326)</f>
        <v>0</v>
      </c>
      <c r="K328" s="41">
        <f t="shared" si="41"/>
        <v>0</v>
      </c>
      <c r="L328" s="41">
        <f t="shared" si="41"/>
        <v>0</v>
      </c>
      <c r="M328" s="41">
        <f t="shared" si="41"/>
        <v>10</v>
      </c>
      <c r="N328" s="41">
        <f t="shared" si="41"/>
        <v>0</v>
      </c>
      <c r="O328" s="41">
        <f t="shared" si="41"/>
        <v>0</v>
      </c>
      <c r="P328" s="41">
        <f t="shared" si="41"/>
        <v>0</v>
      </c>
      <c r="Q328" s="41">
        <f t="shared" si="41"/>
        <v>0</v>
      </c>
      <c r="R328" s="69">
        <f>SUM(D328:E328:F328:G328:J328:K328:L328:M328:N328:O328:P328:Q328)</f>
        <v>480</v>
      </c>
    </row>
    <row r="329" spans="1:19" s="4" customFormat="1" ht="15.75" thickBot="1" x14ac:dyDescent="0.3">
      <c r="A329" s="43" t="s">
        <v>34</v>
      </c>
      <c r="B329" s="43"/>
      <c r="C329" s="43"/>
      <c r="D329" s="44">
        <f>D316*D328</f>
        <v>0</v>
      </c>
      <c r="E329" s="44">
        <f>E316*E328</f>
        <v>11660</v>
      </c>
      <c r="F329" s="44">
        <f>F316*F328</f>
        <v>0</v>
      </c>
      <c r="G329" s="44">
        <f>G316*G328</f>
        <v>810</v>
      </c>
      <c r="H329" s="44">
        <f>H316*H328</f>
        <v>0</v>
      </c>
      <c r="I329" s="44"/>
      <c r="J329" s="44">
        <f t="shared" ref="J329:Q329" si="42">J316*J328</f>
        <v>0</v>
      </c>
      <c r="K329" s="44">
        <f t="shared" si="42"/>
        <v>0</v>
      </c>
      <c r="L329" s="44">
        <f t="shared" si="42"/>
        <v>0</v>
      </c>
      <c r="M329" s="44">
        <f t="shared" si="42"/>
        <v>220</v>
      </c>
      <c r="N329" s="44">
        <f t="shared" si="42"/>
        <v>0</v>
      </c>
      <c r="O329" s="44">
        <f t="shared" si="42"/>
        <v>0</v>
      </c>
      <c r="P329" s="44">
        <f t="shared" si="42"/>
        <v>0</v>
      </c>
      <c r="Q329" s="44">
        <f t="shared" si="42"/>
        <v>0</v>
      </c>
      <c r="R329" s="45">
        <f>SUM(D329:Q329)</f>
        <v>12690</v>
      </c>
    </row>
    <row r="332" spans="1:19" s="4" customFormat="1" ht="15.75" thickBot="1" x14ac:dyDescent="0.3">
      <c r="A332" s="1" t="s">
        <v>102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3"/>
    </row>
    <row r="333" spans="1:19" s="4" customFormat="1" ht="15.75" thickBot="1" x14ac:dyDescent="0.3">
      <c r="A333" s="5" t="s">
        <v>1</v>
      </c>
      <c r="B333" s="5" t="s">
        <v>2</v>
      </c>
      <c r="C333" s="6" t="s">
        <v>3</v>
      </c>
      <c r="D333" s="46" t="s">
        <v>36</v>
      </c>
      <c r="E333" s="8" t="s">
        <v>5</v>
      </c>
      <c r="F333" s="8" t="s">
        <v>37</v>
      </c>
      <c r="G333" s="8" t="s">
        <v>7</v>
      </c>
      <c r="H333" s="8" t="s">
        <v>45</v>
      </c>
      <c r="I333" s="148" t="s">
        <v>47</v>
      </c>
      <c r="J333" s="8" t="s">
        <v>89</v>
      </c>
      <c r="K333" s="10" t="s">
        <v>38</v>
      </c>
      <c r="L333" s="10" t="s">
        <v>39</v>
      </c>
      <c r="M333" s="10" t="s">
        <v>13</v>
      </c>
      <c r="N333" s="11" t="s">
        <v>14</v>
      </c>
      <c r="O333" s="11" t="s">
        <v>48</v>
      </c>
      <c r="P333" s="11" t="s">
        <v>16</v>
      </c>
      <c r="Q333" s="11" t="s">
        <v>49</v>
      </c>
      <c r="R333" s="12" t="s">
        <v>17</v>
      </c>
    </row>
    <row r="334" spans="1:19" s="4" customFormat="1" ht="15.75" thickBot="1" x14ac:dyDescent="0.3">
      <c r="A334" s="13"/>
      <c r="B334" s="13"/>
      <c r="C334" s="70"/>
      <c r="D334" s="48">
        <v>24.5</v>
      </c>
      <c r="E334" s="16">
        <v>27</v>
      </c>
      <c r="F334" s="18">
        <v>24.5</v>
      </c>
      <c r="G334" s="71">
        <v>0</v>
      </c>
      <c r="H334" s="71">
        <v>24.5</v>
      </c>
      <c r="I334" s="71">
        <v>24.5</v>
      </c>
      <c r="J334" s="71">
        <v>26.5</v>
      </c>
      <c r="K334" s="18">
        <v>24.5</v>
      </c>
      <c r="L334" s="18">
        <v>22</v>
      </c>
      <c r="M334" s="16">
        <v>22</v>
      </c>
      <c r="N334" s="18">
        <v>26.5</v>
      </c>
      <c r="O334" s="72">
        <v>29</v>
      </c>
      <c r="P334" s="19">
        <v>24</v>
      </c>
      <c r="Q334" s="19">
        <v>24.5</v>
      </c>
      <c r="R334" s="20"/>
      <c r="S334" s="100">
        <f>R347+R365+R383</f>
        <v>33040</v>
      </c>
    </row>
    <row r="335" spans="1:19" s="4" customFormat="1" ht="15.75" thickBot="1" x14ac:dyDescent="0.3">
      <c r="A335" s="21">
        <v>46265</v>
      </c>
      <c r="B335" s="74">
        <v>3551</v>
      </c>
      <c r="C335" s="75"/>
      <c r="D335" s="52"/>
      <c r="E335" s="53"/>
      <c r="F335" s="52"/>
      <c r="G335" s="76"/>
      <c r="H335" s="77"/>
      <c r="I335" s="77"/>
      <c r="J335" s="52"/>
      <c r="K335" s="52"/>
      <c r="L335" s="78">
        <v>20</v>
      </c>
      <c r="M335" s="53"/>
      <c r="N335" s="52">
        <v>30</v>
      </c>
      <c r="O335" s="78">
        <v>30</v>
      </c>
      <c r="P335" s="52"/>
      <c r="Q335" s="52"/>
      <c r="R335" s="134">
        <f>D334*D335+E334*E335+F334*F335+G334*G335+J334*J335+K334*K335+L334*L335+M334*M335+N334*N335+O334*O335+P334*P335+Q334*Q335+H334*H335</f>
        <v>2105</v>
      </c>
    </row>
    <row r="336" spans="1:19" s="4" customFormat="1" ht="15.75" thickBot="1" x14ac:dyDescent="0.3">
      <c r="A336" s="21">
        <v>46265</v>
      </c>
      <c r="B336" s="22">
        <v>7656</v>
      </c>
      <c r="C336" s="80"/>
      <c r="D336" s="52"/>
      <c r="E336" s="53">
        <v>60</v>
      </c>
      <c r="F336" s="52"/>
      <c r="G336" s="76"/>
      <c r="H336" s="77"/>
      <c r="I336" s="77"/>
      <c r="J336" s="52"/>
      <c r="K336" s="52"/>
      <c r="L336" s="52"/>
      <c r="M336" s="53"/>
      <c r="N336" s="52"/>
      <c r="O336" s="52"/>
      <c r="P336" s="52"/>
      <c r="Q336" s="52"/>
      <c r="R336" s="28">
        <f>D334*D336+E334*E336+F334*F336+G334*G336+J334*J336+L334*L336+K334*K336+M334*M336+N334*N336+O334*O336+P334*P336+Q334*Q336+H334*H336+I334*I336</f>
        <v>1620</v>
      </c>
    </row>
    <row r="337" spans="1:18" s="4" customFormat="1" ht="15.75" thickBot="1" x14ac:dyDescent="0.3">
      <c r="A337" s="21">
        <v>46266</v>
      </c>
      <c r="B337" s="22">
        <v>7673</v>
      </c>
      <c r="C337" s="80"/>
      <c r="D337" s="52"/>
      <c r="E337" s="53">
        <v>50</v>
      </c>
      <c r="F337" s="52"/>
      <c r="G337" s="76"/>
      <c r="H337" s="77"/>
      <c r="I337" s="77"/>
      <c r="J337" s="52"/>
      <c r="K337" s="52"/>
      <c r="L337" s="52"/>
      <c r="M337" s="53"/>
      <c r="N337" s="52"/>
      <c r="O337" s="52"/>
      <c r="P337" s="52"/>
      <c r="Q337" s="52"/>
      <c r="R337" s="28">
        <f>D334*D337+E334*E337+F334*F337+G334*G337+J334*J337+L334*L337+K334*K337+M334*M337+N334*N337+O334*O337+P334*P337+Q334*Q337+H334*H337+I334*I337</f>
        <v>1350</v>
      </c>
    </row>
    <row r="338" spans="1:18" s="4" customFormat="1" ht="15.75" thickBot="1" x14ac:dyDescent="0.3">
      <c r="A338" s="27">
        <v>46267</v>
      </c>
      <c r="B338" s="22">
        <v>7686</v>
      </c>
      <c r="C338" s="80"/>
      <c r="D338" s="52"/>
      <c r="E338" s="53">
        <v>40</v>
      </c>
      <c r="F338" s="52"/>
      <c r="G338" s="76"/>
      <c r="H338" s="77"/>
      <c r="I338" s="77"/>
      <c r="J338" s="52"/>
      <c r="K338" s="52"/>
      <c r="L338" s="52"/>
      <c r="M338" s="52"/>
      <c r="N338" s="52"/>
      <c r="O338" s="52"/>
      <c r="P338" s="52"/>
      <c r="Q338" s="52"/>
      <c r="R338" s="28">
        <f>D334*D338+E334*E338+F334*F338+G334*G338+J334*J338+L334*L338+K334*K338+M334*M338+N334*N338+O334*O338+P334*P338+Q334*Q338+H334*H338+I334*I338</f>
        <v>1080</v>
      </c>
    </row>
    <row r="339" spans="1:18" s="4" customFormat="1" ht="15.75" thickBot="1" x14ac:dyDescent="0.3">
      <c r="A339" s="21">
        <v>46268</v>
      </c>
      <c r="B339" s="22" t="s">
        <v>103</v>
      </c>
      <c r="C339" s="80"/>
      <c r="D339" s="52"/>
      <c r="E339" s="53">
        <v>120</v>
      </c>
      <c r="F339" s="52"/>
      <c r="G339" s="76"/>
      <c r="H339" s="77"/>
      <c r="I339" s="77"/>
      <c r="J339" s="52"/>
      <c r="K339" s="52"/>
      <c r="L339" s="52"/>
      <c r="M339" s="52"/>
      <c r="N339" s="53"/>
      <c r="O339" s="53"/>
      <c r="P339" s="52"/>
      <c r="Q339" s="52"/>
      <c r="R339" s="28">
        <f>D334*D339+E334*E339+F334*F339+G334*G339+J334*J339+L334*L339+K334*K339+M334*M339+N334*N339+O334*O339+P334*P339+Q334*Q339+H334*H339+I334*I339</f>
        <v>3240</v>
      </c>
    </row>
    <row r="340" spans="1:18" s="4" customFormat="1" ht="15.75" thickBot="1" x14ac:dyDescent="0.3">
      <c r="A340" s="21">
        <v>46269</v>
      </c>
      <c r="B340" s="22" t="s">
        <v>104</v>
      </c>
      <c r="C340" s="82"/>
      <c r="D340" s="52"/>
      <c r="E340" s="53">
        <v>90</v>
      </c>
      <c r="F340" s="56"/>
      <c r="G340" s="56"/>
      <c r="H340" s="56"/>
      <c r="I340" s="56"/>
      <c r="J340" s="52"/>
      <c r="K340" s="57"/>
      <c r="L340" s="52"/>
      <c r="M340" s="52"/>
      <c r="N340" s="52"/>
      <c r="O340" s="52"/>
      <c r="P340" s="52"/>
      <c r="Q340" s="52"/>
      <c r="R340" s="134">
        <f>D334*D340+E334*E340+F334*F340+G334*G340+J334*J340+K334*K340+L334*L340+M334*M340+N334*N340+O334*O340+P334*P340+Q334*Q340+H334*H340</f>
        <v>2430</v>
      </c>
    </row>
    <row r="341" spans="1:18" s="4" customFormat="1" ht="15.75" thickBot="1" x14ac:dyDescent="0.3">
      <c r="A341" s="21">
        <v>46270</v>
      </c>
      <c r="B341" s="22" t="s">
        <v>105</v>
      </c>
      <c r="C341" s="82"/>
      <c r="D341" s="56"/>
      <c r="E341" s="53">
        <v>240</v>
      </c>
      <c r="F341" s="52"/>
      <c r="G341" s="52"/>
      <c r="H341" s="56"/>
      <c r="I341" s="56"/>
      <c r="J341" s="52"/>
      <c r="K341" s="78"/>
      <c r="L341" s="52"/>
      <c r="M341" s="52"/>
      <c r="N341" s="52"/>
      <c r="O341" s="52"/>
      <c r="P341" s="52"/>
      <c r="Q341" s="52"/>
      <c r="R341" s="134">
        <f>D334*D341+E334*E341+F334*F341+G334*G341+J334*J341+K341*K334+L334*L341+M334*M341+N334*N341+O334*O341+P334*P341+Q334*Q341+H334*H341</f>
        <v>6480</v>
      </c>
    </row>
    <row r="342" spans="1:18" s="4" customFormat="1" ht="15.75" thickBot="1" x14ac:dyDescent="0.3">
      <c r="A342" s="27"/>
      <c r="B342" s="22"/>
      <c r="C342" s="23"/>
      <c r="D342" s="52"/>
      <c r="E342" s="53"/>
      <c r="F342" s="52"/>
      <c r="G342" s="52"/>
      <c r="H342" s="56"/>
      <c r="I342" s="56"/>
      <c r="J342" s="52"/>
      <c r="K342" s="52"/>
      <c r="L342" s="52"/>
      <c r="M342" s="52"/>
      <c r="N342" s="52"/>
      <c r="O342" s="52"/>
      <c r="P342" s="52"/>
      <c r="Q342" s="52"/>
      <c r="R342" s="135">
        <f>D334*D342+E334*E342+F334*F342+G334*G342+J334*J342+K334*K342+L334*L342+M334*M342+N334*N342+O334*O342+P334*P342+Q334*Q342</f>
        <v>0</v>
      </c>
    </row>
    <row r="343" spans="1:18" s="4" customFormat="1" ht="15.75" thickBot="1" x14ac:dyDescent="0.3">
      <c r="A343" s="27"/>
      <c r="B343" s="22"/>
      <c r="C343" s="23"/>
      <c r="D343" s="52"/>
      <c r="E343" s="66"/>
      <c r="F343" s="66"/>
      <c r="G343" s="66"/>
      <c r="H343" s="84"/>
      <c r="I343" s="84"/>
      <c r="J343" s="66"/>
      <c r="K343" s="66"/>
      <c r="L343" s="52"/>
      <c r="M343" s="52"/>
      <c r="N343" s="52"/>
      <c r="O343" s="52"/>
      <c r="P343" s="52"/>
      <c r="Q343" s="52"/>
      <c r="R343" s="135">
        <f>D334*D343+E334*E343+F334*F343+G334*G343+J334*J343+K334*K343+L334*L343+M334*M343+N334*N343+O334*O343+P334*P343+Q334*Q343</f>
        <v>0</v>
      </c>
    </row>
    <row r="344" spans="1:18" s="4" customFormat="1" ht="15.75" thickBot="1" x14ac:dyDescent="0.3">
      <c r="A344" s="23"/>
      <c r="B344" s="85"/>
      <c r="C344" s="86"/>
      <c r="D344" s="52"/>
      <c r="E344" s="52"/>
      <c r="F344" s="52"/>
      <c r="G344" s="52"/>
      <c r="H344" s="52"/>
      <c r="I344" s="52"/>
      <c r="J344" s="52"/>
      <c r="K344" s="52"/>
      <c r="L344" s="87"/>
      <c r="M344" s="87"/>
      <c r="N344" s="87"/>
      <c r="O344" s="87"/>
      <c r="P344" s="87"/>
      <c r="Q344" s="61"/>
      <c r="R344" s="135">
        <f>D334*D344+E334*E344+F334*F344+G334*G344+J334*J344+K334*K344+L334*L344+M334*M344+N334*N344+O334*O344+P334*P344+Q334*Q344</f>
        <v>0</v>
      </c>
    </row>
    <row r="345" spans="1:18" s="4" customFormat="1" ht="15.75" thickBot="1" x14ac:dyDescent="0.3">
      <c r="A345" s="88"/>
      <c r="B345" s="89"/>
      <c r="C345" s="34"/>
      <c r="D345" s="35"/>
      <c r="E345" s="35"/>
      <c r="F345" s="35"/>
      <c r="G345" s="35"/>
      <c r="H345" s="35"/>
      <c r="I345" s="35"/>
      <c r="J345" s="35"/>
      <c r="K345" s="35"/>
      <c r="L345" s="90"/>
      <c r="M345" s="90"/>
      <c r="N345" s="90"/>
      <c r="O345" s="91" t="s">
        <v>32</v>
      </c>
      <c r="P345" s="92"/>
      <c r="Q345" s="39"/>
      <c r="R345" s="67">
        <f>SUM(R335:R344)</f>
        <v>18305</v>
      </c>
    </row>
    <row r="346" spans="1:18" s="4" customFormat="1" ht="15.75" thickBot="1" x14ac:dyDescent="0.3">
      <c r="A346" s="40" t="s">
        <v>33</v>
      </c>
      <c r="B346" s="40"/>
      <c r="C346" s="40"/>
      <c r="D346" s="41">
        <f>SUM(D335:D344)</f>
        <v>0</v>
      </c>
      <c r="E346" s="41">
        <f>SUM(E335:E344)</f>
        <v>600</v>
      </c>
      <c r="F346" s="41">
        <f>SUM(F335:F344)</f>
        <v>0</v>
      </c>
      <c r="G346" s="41">
        <f>SUM(G335:G344)</f>
        <v>0</v>
      </c>
      <c r="H346" s="41">
        <f>SUM(H335:H344)</f>
        <v>0</v>
      </c>
      <c r="I346" s="41"/>
      <c r="J346" s="41">
        <f t="shared" ref="J346:Q346" si="43">SUM(J335:J344)</f>
        <v>0</v>
      </c>
      <c r="K346" s="41">
        <f t="shared" si="43"/>
        <v>0</v>
      </c>
      <c r="L346" s="41">
        <f t="shared" si="43"/>
        <v>20</v>
      </c>
      <c r="M346" s="41">
        <f t="shared" si="43"/>
        <v>0</v>
      </c>
      <c r="N346" s="41">
        <f t="shared" si="43"/>
        <v>30</v>
      </c>
      <c r="O346" s="41">
        <f t="shared" si="43"/>
        <v>30</v>
      </c>
      <c r="P346" s="41">
        <f t="shared" si="43"/>
        <v>0</v>
      </c>
      <c r="Q346" s="41">
        <f t="shared" si="43"/>
        <v>0</v>
      </c>
      <c r="R346" s="69">
        <f>SUM(D346:E346:F346:G346:J346:K346:L346:M346:N346:O346:P346:Q346)</f>
        <v>680</v>
      </c>
    </row>
    <row r="347" spans="1:18" s="4" customFormat="1" ht="15.75" thickBot="1" x14ac:dyDescent="0.3">
      <c r="A347" s="43" t="s">
        <v>34</v>
      </c>
      <c r="B347" s="43"/>
      <c r="C347" s="43"/>
      <c r="D347" s="44">
        <f>D334*D346</f>
        <v>0</v>
      </c>
      <c r="E347" s="44">
        <f>E334*E346</f>
        <v>16200</v>
      </c>
      <c r="F347" s="44">
        <f>F334*F346</f>
        <v>0</v>
      </c>
      <c r="G347" s="44">
        <f>G334*G346</f>
        <v>0</v>
      </c>
      <c r="H347" s="44">
        <f>H334*H346</f>
        <v>0</v>
      </c>
      <c r="I347" s="44"/>
      <c r="J347" s="44">
        <f t="shared" ref="J347:Q347" si="44">J334*J346</f>
        <v>0</v>
      </c>
      <c r="K347" s="44">
        <f t="shared" si="44"/>
        <v>0</v>
      </c>
      <c r="L347" s="44">
        <f t="shared" si="44"/>
        <v>440</v>
      </c>
      <c r="M347" s="44">
        <f t="shared" si="44"/>
        <v>0</v>
      </c>
      <c r="N347" s="44">
        <f t="shared" si="44"/>
        <v>795</v>
      </c>
      <c r="O347" s="44">
        <f t="shared" si="44"/>
        <v>870</v>
      </c>
      <c r="P347" s="44">
        <f t="shared" si="44"/>
        <v>0</v>
      </c>
      <c r="Q347" s="44">
        <f t="shared" si="44"/>
        <v>0</v>
      </c>
      <c r="R347" s="45">
        <f>SUM(D347:Q347)</f>
        <v>18305</v>
      </c>
    </row>
    <row r="350" spans="1:18" s="4" customFormat="1" ht="15.75" thickBot="1" x14ac:dyDescent="0.3">
      <c r="A350" s="1" t="s">
        <v>106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3"/>
    </row>
    <row r="351" spans="1:18" s="4" customFormat="1" ht="15.75" thickBot="1" x14ac:dyDescent="0.3">
      <c r="A351" s="164" t="s">
        <v>1</v>
      </c>
      <c r="B351" s="164" t="s">
        <v>2</v>
      </c>
      <c r="C351" s="165" t="s">
        <v>3</v>
      </c>
      <c r="D351" s="46" t="s">
        <v>36</v>
      </c>
      <c r="E351" s="8" t="s">
        <v>5</v>
      </c>
      <c r="F351" s="8" t="s">
        <v>37</v>
      </c>
      <c r="G351" s="8" t="s">
        <v>7</v>
      </c>
      <c r="H351" s="8" t="s">
        <v>45</v>
      </c>
      <c r="I351" s="148" t="s">
        <v>57</v>
      </c>
      <c r="J351" s="8" t="s">
        <v>89</v>
      </c>
      <c r="K351" s="10" t="s">
        <v>38</v>
      </c>
      <c r="L351" s="10" t="s">
        <v>39</v>
      </c>
      <c r="M351" s="10" t="s">
        <v>13</v>
      </c>
      <c r="N351" s="11" t="s">
        <v>14</v>
      </c>
      <c r="O351" s="11" t="s">
        <v>48</v>
      </c>
      <c r="P351" s="11" t="s">
        <v>16</v>
      </c>
      <c r="Q351" s="11" t="s">
        <v>49</v>
      </c>
      <c r="R351" s="12" t="s">
        <v>17</v>
      </c>
    </row>
    <row r="352" spans="1:18" s="4" customFormat="1" ht="15.75" thickBot="1" x14ac:dyDescent="0.3">
      <c r="A352" s="166"/>
      <c r="B352" s="166"/>
      <c r="C352" s="167"/>
      <c r="D352" s="48">
        <v>24.5</v>
      </c>
      <c r="E352" s="16">
        <v>27</v>
      </c>
      <c r="F352" s="18">
        <v>24.5</v>
      </c>
      <c r="G352" s="71">
        <v>0</v>
      </c>
      <c r="H352" s="71">
        <v>24.5</v>
      </c>
      <c r="I352" s="16">
        <v>27</v>
      </c>
      <c r="J352" s="71">
        <v>26.5</v>
      </c>
      <c r="K352" s="18">
        <v>24.5</v>
      </c>
      <c r="L352" s="18">
        <v>20</v>
      </c>
      <c r="M352" s="16">
        <v>22</v>
      </c>
      <c r="N352" s="18">
        <v>26.5</v>
      </c>
      <c r="O352" s="19">
        <v>24</v>
      </c>
      <c r="P352" s="19">
        <v>0</v>
      </c>
      <c r="Q352" s="19">
        <v>27</v>
      </c>
      <c r="R352" s="20"/>
    </row>
    <row r="353" spans="1:18" s="4" customFormat="1" ht="15.75" thickBot="1" x14ac:dyDescent="0.3">
      <c r="A353" s="21">
        <v>46265</v>
      </c>
      <c r="B353" s="74">
        <v>7602</v>
      </c>
      <c r="C353" s="75"/>
      <c r="D353" s="52"/>
      <c r="E353" s="53">
        <v>177</v>
      </c>
      <c r="F353" s="52"/>
      <c r="G353" s="76"/>
      <c r="H353" s="77"/>
      <c r="I353" s="77"/>
      <c r="J353" s="52"/>
      <c r="K353" s="52"/>
      <c r="L353" s="78"/>
      <c r="M353" s="52"/>
      <c r="N353" s="52"/>
      <c r="O353" s="78"/>
      <c r="P353" s="52"/>
      <c r="Q353" s="52"/>
      <c r="R353" s="134">
        <f>D352*D353+E352*E353+F352*F353+G352*G353+J352*J353+K352*K353+L352*L353+M352*M353+N352*N353+O352*O353+P352*P353+Q352*Q353+H352*H353</f>
        <v>4779</v>
      </c>
    </row>
    <row r="354" spans="1:18" s="4" customFormat="1" ht="15.75" thickBot="1" x14ac:dyDescent="0.3">
      <c r="A354" s="27">
        <v>46267</v>
      </c>
      <c r="B354" s="22">
        <v>7637</v>
      </c>
      <c r="C354" s="80"/>
      <c r="D354" s="52"/>
      <c r="E354" s="53">
        <v>88</v>
      </c>
      <c r="F354" s="52"/>
      <c r="G354" s="76"/>
      <c r="H354" s="77"/>
      <c r="I354" s="53"/>
      <c r="J354" s="52"/>
      <c r="K354" s="52"/>
      <c r="L354" s="52"/>
      <c r="M354" s="53"/>
      <c r="N354" s="52"/>
      <c r="O354" s="52"/>
      <c r="P354" s="52"/>
      <c r="Q354" s="52"/>
      <c r="R354" s="28">
        <f>D352*D354+E352*E354+F352*F354+G352*G354+J352*J354+L352*L354+K352*K354+M352*M354+N352*N354+O352*O354+P352*P354+Q352*Q354+H352*H354+I352*I354</f>
        <v>2376</v>
      </c>
    </row>
    <row r="355" spans="1:18" s="4" customFormat="1" ht="15.75" thickBot="1" x14ac:dyDescent="0.3">
      <c r="A355" s="27">
        <v>46269</v>
      </c>
      <c r="B355" s="22">
        <v>7567</v>
      </c>
      <c r="C355" s="80"/>
      <c r="D355" s="52"/>
      <c r="E355" s="53">
        <v>70</v>
      </c>
      <c r="F355" s="52"/>
      <c r="G355" s="76"/>
      <c r="H355" s="77"/>
      <c r="I355" s="53">
        <v>17</v>
      </c>
      <c r="J355" s="52"/>
      <c r="K355" s="52"/>
      <c r="L355" s="52"/>
      <c r="M355" s="52">
        <v>23</v>
      </c>
      <c r="N355" s="52"/>
      <c r="O355" s="52"/>
      <c r="P355" s="52"/>
      <c r="Q355" s="52"/>
      <c r="R355" s="28">
        <f>D353*D355+E352*E355+F353*F355+G353*G355+J353*J355+L353*L355+K353*K355+M352*M355+N353*N355+O353*O355+P353*P355+Q352*Q355+H353*H355+I352*I355</f>
        <v>2855</v>
      </c>
    </row>
    <row r="356" spans="1:18" s="4" customFormat="1" ht="15.75" thickBot="1" x14ac:dyDescent="0.3">
      <c r="A356" s="27"/>
      <c r="B356" s="22"/>
      <c r="C356" s="80"/>
      <c r="D356" s="52"/>
      <c r="E356" s="76"/>
      <c r="F356" s="52"/>
      <c r="G356" s="76"/>
      <c r="H356" s="77"/>
      <c r="I356" s="77"/>
      <c r="J356" s="52"/>
      <c r="K356" s="52"/>
      <c r="L356" s="52"/>
      <c r="M356" s="52"/>
      <c r="N356" s="52"/>
      <c r="O356" s="52"/>
      <c r="P356" s="52"/>
      <c r="Q356" s="52"/>
      <c r="R356" s="28">
        <f>D352*D356+E354*E356+F354*F356+G354*G356+J354*J356+L354*L356+K352*K356+M354*M356+N354*N356+O354*O356+P354*P356+Q354*Q356+H354*H356+I354*I356</f>
        <v>0</v>
      </c>
    </row>
    <row r="357" spans="1:18" s="4" customFormat="1" ht="15.75" thickBot="1" x14ac:dyDescent="0.3">
      <c r="A357" s="27"/>
      <c r="B357" s="22"/>
      <c r="C357" s="80"/>
      <c r="D357" s="52"/>
      <c r="E357" s="76"/>
      <c r="F357" s="52"/>
      <c r="G357" s="76"/>
      <c r="H357" s="77"/>
      <c r="I357" s="77"/>
      <c r="J357" s="52"/>
      <c r="K357" s="52"/>
      <c r="L357" s="52"/>
      <c r="M357" s="52"/>
      <c r="N357" s="52"/>
      <c r="O357" s="52"/>
      <c r="P357" s="52"/>
      <c r="Q357" s="52"/>
      <c r="R357" s="28">
        <f t="shared" ref="R357" si="45">D354*D357+E355*E357+F355*F357+G355*G357+J355*J357+L355*L357+K354*K357+M355*M357+N355*N357+O355*O357+P355*P357+Q355*Q357+H355*H357+I355*I357</f>
        <v>0</v>
      </c>
    </row>
    <row r="358" spans="1:18" s="4" customFormat="1" ht="15.75" thickBot="1" x14ac:dyDescent="0.3">
      <c r="A358" s="27"/>
      <c r="B358" s="22"/>
      <c r="C358" s="82"/>
      <c r="D358" s="52"/>
      <c r="E358" s="56"/>
      <c r="F358" s="56"/>
      <c r="G358" s="56"/>
      <c r="H358" s="56"/>
      <c r="I358" s="56"/>
      <c r="J358" s="52"/>
      <c r="K358" s="57"/>
      <c r="L358" s="52"/>
      <c r="M358" s="52"/>
      <c r="N358" s="52"/>
      <c r="O358" s="52"/>
      <c r="P358" s="52"/>
      <c r="Q358" s="52"/>
      <c r="R358" s="134">
        <f>D352*D358+E352*E358+F352*F358+G352*G358+J352*J358+K352*K358+L352*L358+M352*M358+N352*N358+O352*O358+P352*P358+Q352*Q358+H352*H358</f>
        <v>0</v>
      </c>
    </row>
    <row r="359" spans="1:18" s="4" customFormat="1" ht="15.75" thickBot="1" x14ac:dyDescent="0.3">
      <c r="A359" s="21"/>
      <c r="B359" s="22"/>
      <c r="C359" s="82"/>
      <c r="D359" s="56"/>
      <c r="E359" s="52"/>
      <c r="F359" s="52"/>
      <c r="G359" s="52"/>
      <c r="H359" s="56"/>
      <c r="I359" s="56"/>
      <c r="J359" s="52"/>
      <c r="K359" s="78"/>
      <c r="L359" s="52"/>
      <c r="M359" s="52"/>
      <c r="N359" s="52"/>
      <c r="O359" s="52"/>
      <c r="P359" s="52"/>
      <c r="Q359" s="52"/>
      <c r="R359" s="134">
        <f>D352*D359+E352*E359+F352*F359+G352*G359+J352*J359+K359*K352+L352*L359+M352*M359+N352*N359+O352*O359+P352*P359+Q352*Q359+H352*H359</f>
        <v>0</v>
      </c>
    </row>
    <row r="360" spans="1:18" s="4" customFormat="1" ht="15.75" thickBot="1" x14ac:dyDescent="0.3">
      <c r="A360" s="27"/>
      <c r="B360" s="22"/>
      <c r="C360" s="23"/>
      <c r="D360" s="52"/>
      <c r="E360" s="52"/>
      <c r="F360" s="52"/>
      <c r="G360" s="52"/>
      <c r="H360" s="56"/>
      <c r="I360" s="56"/>
      <c r="J360" s="52"/>
      <c r="K360" s="52"/>
      <c r="L360" s="52"/>
      <c r="M360" s="52"/>
      <c r="N360" s="52"/>
      <c r="O360" s="52"/>
      <c r="P360" s="52"/>
      <c r="Q360" s="52"/>
      <c r="R360" s="135">
        <f>D352*D360+E352*E360+F352*F360+G352*G360+J352*J360+K352*K360+L352*L360+M352*M360+N352*N360+O352*O360+P352*P360+Q352*Q360</f>
        <v>0</v>
      </c>
    </row>
    <row r="361" spans="1:18" s="4" customFormat="1" ht="15.75" thickBot="1" x14ac:dyDescent="0.3">
      <c r="A361" s="27"/>
      <c r="B361" s="22"/>
      <c r="C361" s="23"/>
      <c r="D361" s="52"/>
      <c r="E361" s="66"/>
      <c r="F361" s="66"/>
      <c r="G361" s="66"/>
      <c r="H361" s="84"/>
      <c r="I361" s="84"/>
      <c r="J361" s="66"/>
      <c r="K361" s="66"/>
      <c r="L361" s="52"/>
      <c r="M361" s="52"/>
      <c r="N361" s="52"/>
      <c r="O361" s="52"/>
      <c r="P361" s="52"/>
      <c r="Q361" s="52"/>
      <c r="R361" s="135">
        <f>D352*D361+E352*E361+F352*F361+G352*G361+J352*J361+K352*K361+L352*L361+M352*M361+N352*N361+O352*O361+P352*P361+Q352*Q361</f>
        <v>0</v>
      </c>
    </row>
    <row r="362" spans="1:18" s="4" customFormat="1" ht="15.75" thickBot="1" x14ac:dyDescent="0.3">
      <c r="A362" s="23"/>
      <c r="B362" s="85"/>
      <c r="C362" s="86"/>
      <c r="D362" s="52"/>
      <c r="E362" s="52"/>
      <c r="F362" s="52"/>
      <c r="G362" s="52"/>
      <c r="H362" s="52"/>
      <c r="I362" s="52"/>
      <c r="J362" s="52"/>
      <c r="K362" s="52"/>
      <c r="L362" s="87"/>
      <c r="M362" s="87"/>
      <c r="N362" s="87"/>
      <c r="O362" s="87"/>
      <c r="P362" s="87"/>
      <c r="Q362" s="61"/>
      <c r="R362" s="135">
        <f>D352*D362+E352*E362+F352*F362+G352*G362+J352*J362+K352*K362+L352*L362+M352*M362+N352*N362+O352*O362+P352*P362+Q352*Q362</f>
        <v>0</v>
      </c>
    </row>
    <row r="363" spans="1:18" s="4" customFormat="1" ht="15.75" thickBot="1" x14ac:dyDescent="0.3">
      <c r="A363" s="88"/>
      <c r="B363" s="89"/>
      <c r="C363" s="34"/>
      <c r="D363" s="35"/>
      <c r="E363" s="35"/>
      <c r="F363" s="35"/>
      <c r="G363" s="35"/>
      <c r="H363" s="35"/>
      <c r="I363" s="35"/>
      <c r="J363" s="35"/>
      <c r="K363" s="35"/>
      <c r="L363" s="90"/>
      <c r="M363" s="90"/>
      <c r="N363" s="90"/>
      <c r="O363" s="91" t="s">
        <v>32</v>
      </c>
      <c r="P363" s="92"/>
      <c r="Q363" s="39"/>
      <c r="R363" s="67">
        <f>SUM(R353:R362)</f>
        <v>10010</v>
      </c>
    </row>
    <row r="364" spans="1:18" s="4" customFormat="1" ht="15.75" thickBot="1" x14ac:dyDescent="0.3">
      <c r="A364" s="40" t="s">
        <v>33</v>
      </c>
      <c r="B364" s="40"/>
      <c r="C364" s="40"/>
      <c r="D364" s="41">
        <f t="shared" ref="D364:Q364" si="46">SUM(D353:D362)</f>
        <v>0</v>
      </c>
      <c r="E364" s="41">
        <f t="shared" si="46"/>
        <v>335</v>
      </c>
      <c r="F364" s="41">
        <f t="shared" si="46"/>
        <v>0</v>
      </c>
      <c r="G364" s="41">
        <f t="shared" si="46"/>
        <v>0</v>
      </c>
      <c r="H364" s="41">
        <f t="shared" si="46"/>
        <v>0</v>
      </c>
      <c r="I364" s="41">
        <f t="shared" si="46"/>
        <v>17</v>
      </c>
      <c r="J364" s="41">
        <f t="shared" si="46"/>
        <v>0</v>
      </c>
      <c r="K364" s="41">
        <f t="shared" si="46"/>
        <v>0</v>
      </c>
      <c r="L364" s="41">
        <f t="shared" si="46"/>
        <v>0</v>
      </c>
      <c r="M364" s="41">
        <f t="shared" si="46"/>
        <v>23</v>
      </c>
      <c r="N364" s="41">
        <f t="shared" si="46"/>
        <v>0</v>
      </c>
      <c r="O364" s="41">
        <f t="shared" si="46"/>
        <v>0</v>
      </c>
      <c r="P364" s="41">
        <f t="shared" si="46"/>
        <v>0</v>
      </c>
      <c r="Q364" s="41">
        <f t="shared" si="46"/>
        <v>0</v>
      </c>
      <c r="R364" s="69">
        <f>SUM(D364:E364:F364:G364:J364:K364:L364:M364:N364:O364:P364:Q364)</f>
        <v>375</v>
      </c>
    </row>
    <row r="365" spans="1:18" s="4" customFormat="1" ht="15.75" thickBot="1" x14ac:dyDescent="0.3">
      <c r="A365" s="43" t="s">
        <v>34</v>
      </c>
      <c r="B365" s="43"/>
      <c r="C365" s="43"/>
      <c r="D365" s="44">
        <f t="shared" ref="D365:Q365" si="47">D352*D364</f>
        <v>0</v>
      </c>
      <c r="E365" s="44">
        <f t="shared" si="47"/>
        <v>9045</v>
      </c>
      <c r="F365" s="44">
        <f t="shared" si="47"/>
        <v>0</v>
      </c>
      <c r="G365" s="44">
        <f t="shared" si="47"/>
        <v>0</v>
      </c>
      <c r="H365" s="44">
        <f t="shared" si="47"/>
        <v>0</v>
      </c>
      <c r="I365" s="44">
        <f t="shared" si="47"/>
        <v>459</v>
      </c>
      <c r="J365" s="44">
        <f t="shared" si="47"/>
        <v>0</v>
      </c>
      <c r="K365" s="44">
        <f t="shared" si="47"/>
        <v>0</v>
      </c>
      <c r="L365" s="44">
        <f t="shared" si="47"/>
        <v>0</v>
      </c>
      <c r="M365" s="44">
        <f t="shared" si="47"/>
        <v>506</v>
      </c>
      <c r="N365" s="44">
        <f t="shared" si="47"/>
        <v>0</v>
      </c>
      <c r="O365" s="44">
        <f t="shared" si="47"/>
        <v>0</v>
      </c>
      <c r="P365" s="44">
        <f t="shared" si="47"/>
        <v>0</v>
      </c>
      <c r="Q365" s="44">
        <f t="shared" si="47"/>
        <v>0</v>
      </c>
      <c r="R365" s="45">
        <f>SUM(D365:Q365)</f>
        <v>10010</v>
      </c>
    </row>
    <row r="368" spans="1:18" s="4" customFormat="1" ht="15.75" thickBot="1" x14ac:dyDescent="0.3">
      <c r="A368" s="1" t="s">
        <v>107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3"/>
    </row>
    <row r="369" spans="1:18" s="4" customFormat="1" ht="15.75" thickBot="1" x14ac:dyDescent="0.3">
      <c r="A369" s="5" t="s">
        <v>1</v>
      </c>
      <c r="B369" s="5" t="s">
        <v>2</v>
      </c>
      <c r="C369" s="6" t="s">
        <v>3</v>
      </c>
      <c r="D369" s="46" t="s">
        <v>36</v>
      </c>
      <c r="E369" s="8" t="s">
        <v>5</v>
      </c>
      <c r="F369" s="8" t="s">
        <v>37</v>
      </c>
      <c r="G369" s="8" t="s">
        <v>7</v>
      </c>
      <c r="H369" s="8" t="s">
        <v>45</v>
      </c>
      <c r="I369" s="148" t="s">
        <v>47</v>
      </c>
      <c r="J369" s="8" t="s">
        <v>89</v>
      </c>
      <c r="K369" s="10" t="s">
        <v>38</v>
      </c>
      <c r="L369" s="10" t="s">
        <v>39</v>
      </c>
      <c r="M369" s="10" t="s">
        <v>13</v>
      </c>
      <c r="N369" s="11" t="s">
        <v>14</v>
      </c>
      <c r="O369" s="11" t="s">
        <v>48</v>
      </c>
      <c r="P369" s="11" t="s">
        <v>16</v>
      </c>
      <c r="Q369" s="11" t="s">
        <v>49</v>
      </c>
      <c r="R369" s="12" t="s">
        <v>17</v>
      </c>
    </row>
    <row r="370" spans="1:18" s="4" customFormat="1" ht="15.75" thickBot="1" x14ac:dyDescent="0.3">
      <c r="A370" s="13"/>
      <c r="B370" s="13"/>
      <c r="C370" s="70"/>
      <c r="D370" s="48">
        <v>24.5</v>
      </c>
      <c r="E370" s="16">
        <v>27</v>
      </c>
      <c r="F370" s="18">
        <v>24.5</v>
      </c>
      <c r="G370" s="71">
        <v>0</v>
      </c>
      <c r="H370" s="71">
        <v>24.5</v>
      </c>
      <c r="I370" s="71">
        <v>24.5</v>
      </c>
      <c r="J370" s="71">
        <v>26.5</v>
      </c>
      <c r="K370" s="18">
        <v>24.5</v>
      </c>
      <c r="L370" s="18">
        <v>20</v>
      </c>
      <c r="M370" s="18">
        <v>19.5</v>
      </c>
      <c r="N370" s="18">
        <v>26.5</v>
      </c>
      <c r="O370" s="72">
        <v>29</v>
      </c>
      <c r="P370" s="19">
        <v>0</v>
      </c>
      <c r="Q370" s="19">
        <v>24.5</v>
      </c>
      <c r="R370" s="20"/>
    </row>
    <row r="371" spans="1:18" s="4" customFormat="1" ht="15.75" thickBot="1" x14ac:dyDescent="0.3">
      <c r="A371" s="21">
        <v>46265</v>
      </c>
      <c r="B371" s="74">
        <v>1198</v>
      </c>
      <c r="C371" s="75"/>
      <c r="D371" s="52"/>
      <c r="E371" s="53">
        <v>80</v>
      </c>
      <c r="F371" s="52"/>
      <c r="G371" s="76"/>
      <c r="H371" s="77"/>
      <c r="I371" s="77"/>
      <c r="J371" s="52"/>
      <c r="K371" s="52"/>
      <c r="L371" s="78"/>
      <c r="M371" s="52"/>
      <c r="N371" s="52"/>
      <c r="O371" s="83"/>
      <c r="P371" s="52"/>
      <c r="Q371" s="52"/>
      <c r="R371" s="134">
        <f>D370*D371+E370*E371+F368*F370+G368*G371+J370*J371+K368*K371+L370*L371+M370*M371+N368*N371+O370*O371+P368*P371+Q370*Q371+H370*H371</f>
        <v>2160</v>
      </c>
    </row>
    <row r="372" spans="1:18" s="4" customFormat="1" ht="15.75" thickBot="1" x14ac:dyDescent="0.3">
      <c r="A372" s="27">
        <v>46267</v>
      </c>
      <c r="B372" s="22">
        <v>4178</v>
      </c>
      <c r="C372" s="80"/>
      <c r="D372" s="52"/>
      <c r="E372" s="53">
        <v>55</v>
      </c>
      <c r="F372" s="52"/>
      <c r="G372" s="76"/>
      <c r="H372" s="77"/>
      <c r="I372" s="77"/>
      <c r="J372" s="52"/>
      <c r="K372" s="52"/>
      <c r="L372" s="52"/>
      <c r="M372" s="52"/>
      <c r="N372" s="52"/>
      <c r="O372" s="53"/>
      <c r="P372" s="52"/>
      <c r="Q372" s="52"/>
      <c r="R372" s="28">
        <f>D370*D372+E370*E372+F370*F372+G370*G372+J370*J372+L370*L372+K370*K372+M370*M372+N370*N372+O370*O372+P370*P372+Q370*Q372+H370*H372+I370*I372</f>
        <v>1485</v>
      </c>
    </row>
    <row r="373" spans="1:18" s="4" customFormat="1" ht="15.75" thickBot="1" x14ac:dyDescent="0.3">
      <c r="A373" s="27">
        <v>46269</v>
      </c>
      <c r="B373" s="22">
        <v>4197</v>
      </c>
      <c r="C373" s="80"/>
      <c r="D373" s="52"/>
      <c r="E373" s="53">
        <v>40</v>
      </c>
      <c r="F373" s="52"/>
      <c r="G373" s="76"/>
      <c r="H373" s="77"/>
      <c r="I373" s="77"/>
      <c r="J373" s="52"/>
      <c r="K373" s="52"/>
      <c r="L373" s="52"/>
      <c r="M373" s="52"/>
      <c r="N373" s="52"/>
      <c r="O373" s="53"/>
      <c r="P373" s="52"/>
      <c r="Q373" s="52"/>
      <c r="R373" s="28">
        <f>D370*D373+E370*E373+F371*F373+G371*G373+J371*J373+L371*L373+K371*K373+M371*M373+N371*N373+O370*O373+P371*P373+Q371*Q373+H371*H373+I371*I373</f>
        <v>1080</v>
      </c>
    </row>
    <row r="374" spans="1:18" s="4" customFormat="1" ht="15.75" thickBot="1" x14ac:dyDescent="0.3">
      <c r="A374" s="27"/>
      <c r="B374" s="22"/>
      <c r="C374" s="80"/>
      <c r="D374" s="52"/>
      <c r="E374" s="53"/>
      <c r="F374" s="52"/>
      <c r="G374" s="76"/>
      <c r="H374" s="77"/>
      <c r="I374" s="77"/>
      <c r="J374" s="52"/>
      <c r="K374" s="52"/>
      <c r="L374" s="52"/>
      <c r="M374" s="52"/>
      <c r="N374" s="52"/>
      <c r="O374" s="52"/>
      <c r="P374" s="52"/>
      <c r="Q374" s="52"/>
      <c r="R374" s="28">
        <f>D370*D374+E370*E374+F370*F374+G370*G374+J370*J374+L370*L374+K370*K374+M370*M374+N370*N374+O370*O374+P370*P374+Q370*Q374+H370*H374+I370*I374</f>
        <v>0</v>
      </c>
    </row>
    <row r="375" spans="1:18" s="4" customFormat="1" ht="15.75" thickBot="1" x14ac:dyDescent="0.3">
      <c r="A375" s="27"/>
      <c r="B375" s="22"/>
      <c r="C375" s="80"/>
      <c r="D375" s="52"/>
      <c r="E375" s="53"/>
      <c r="F375" s="52"/>
      <c r="G375" s="76"/>
      <c r="H375" s="77"/>
      <c r="I375" s="77"/>
      <c r="J375" s="52"/>
      <c r="K375" s="52"/>
      <c r="L375" s="52"/>
      <c r="M375" s="52"/>
      <c r="N375" s="52"/>
      <c r="O375" s="52"/>
      <c r="P375" s="52"/>
      <c r="Q375" s="52"/>
      <c r="R375" s="28">
        <f>D371*D375+E370*E375+F371*F375+G371*G375+J371*J375+L371*L375+K371*K375+M371*M375+N371*N375+O371*O375+P371*P375+Q371*Q375+H371*H375+I371*I375</f>
        <v>0</v>
      </c>
    </row>
    <row r="376" spans="1:18" s="4" customFormat="1" ht="15.75" thickBot="1" x14ac:dyDescent="0.3">
      <c r="A376" s="27"/>
      <c r="B376" s="22"/>
      <c r="C376" s="82"/>
      <c r="D376" s="52"/>
      <c r="E376" s="56"/>
      <c r="F376" s="56"/>
      <c r="G376" s="56"/>
      <c r="H376" s="56"/>
      <c r="I376" s="56"/>
      <c r="J376" s="52"/>
      <c r="K376" s="57"/>
      <c r="L376" s="52"/>
      <c r="M376" s="52"/>
      <c r="N376" s="52"/>
      <c r="O376" s="52"/>
      <c r="P376" s="52"/>
      <c r="Q376" s="52"/>
      <c r="R376" s="134">
        <f>D370*D376+E370*E376+F370*F376+G370*G376+J370*J376+K370*K376+L370*L376+M370*M376+N370*N376+O370*O376+P370*P376+Q370*Q376+H370*H376</f>
        <v>0</v>
      </c>
    </row>
    <row r="377" spans="1:18" s="4" customFormat="1" ht="15.75" thickBot="1" x14ac:dyDescent="0.3">
      <c r="A377" s="21"/>
      <c r="B377" s="22"/>
      <c r="C377" s="82"/>
      <c r="D377" s="56"/>
      <c r="E377" s="52"/>
      <c r="F377" s="52"/>
      <c r="G377" s="52"/>
      <c r="H377" s="56"/>
      <c r="I377" s="56"/>
      <c r="J377" s="52"/>
      <c r="K377" s="78"/>
      <c r="L377" s="52"/>
      <c r="M377" s="52"/>
      <c r="N377" s="52"/>
      <c r="O377" s="52"/>
      <c r="P377" s="52"/>
      <c r="Q377" s="52"/>
      <c r="R377" s="134">
        <f>D370*D377+E370*E377+F370*F377+G370*G377+J370*J377+K377*K370+L370*L377+M370*M377+N370*N377+O370*O377+P370*P377+Q370*Q377+H370*H377</f>
        <v>0</v>
      </c>
    </row>
    <row r="378" spans="1:18" s="4" customFormat="1" ht="15.75" thickBot="1" x14ac:dyDescent="0.3">
      <c r="A378" s="27"/>
      <c r="B378" s="22"/>
      <c r="C378" s="23"/>
      <c r="D378" s="52"/>
      <c r="E378" s="52"/>
      <c r="F378" s="52"/>
      <c r="G378" s="52"/>
      <c r="H378" s="56"/>
      <c r="I378" s="56"/>
      <c r="J378" s="52"/>
      <c r="K378" s="52"/>
      <c r="L378" s="52"/>
      <c r="M378" s="52"/>
      <c r="N378" s="52"/>
      <c r="O378" s="52"/>
      <c r="P378" s="52"/>
      <c r="Q378" s="52"/>
      <c r="R378" s="135">
        <f>D370*D378+E370*E378+F370*F378+G370*G378+J370*J378+K370*K378+L370*L378+M370*M378+N370*N378+O370*O378+P370*P378+Q370*Q378</f>
        <v>0</v>
      </c>
    </row>
    <row r="379" spans="1:18" s="4" customFormat="1" ht="15.75" thickBot="1" x14ac:dyDescent="0.3">
      <c r="A379" s="27"/>
      <c r="B379" s="22"/>
      <c r="C379" s="23"/>
      <c r="D379" s="52"/>
      <c r="E379" s="66"/>
      <c r="F379" s="66"/>
      <c r="G379" s="66"/>
      <c r="H379" s="84"/>
      <c r="I379" s="84"/>
      <c r="J379" s="66"/>
      <c r="K379" s="66"/>
      <c r="L379" s="52"/>
      <c r="M379" s="52"/>
      <c r="N379" s="52"/>
      <c r="O379" s="52"/>
      <c r="P379" s="52"/>
      <c r="Q379" s="52"/>
      <c r="R379" s="135">
        <f>D370*D379+E370*E379+F370*F379+G370*G379+J370*J379+K370*K379+L370*L379+M370*M379+N370*N379+O370*O379+P370*P379+Q370*Q379</f>
        <v>0</v>
      </c>
    </row>
    <row r="380" spans="1:18" s="4" customFormat="1" ht="15.75" thickBot="1" x14ac:dyDescent="0.3">
      <c r="A380" s="23"/>
      <c r="B380" s="85"/>
      <c r="C380" s="86"/>
      <c r="D380" s="52"/>
      <c r="E380" s="52"/>
      <c r="F380" s="52"/>
      <c r="G380" s="52"/>
      <c r="H380" s="52"/>
      <c r="I380" s="52"/>
      <c r="J380" s="52"/>
      <c r="K380" s="52"/>
      <c r="L380" s="87"/>
      <c r="M380" s="87"/>
      <c r="N380" s="87"/>
      <c r="O380" s="87"/>
      <c r="P380" s="87"/>
      <c r="Q380" s="61"/>
      <c r="R380" s="135">
        <f>D370*D380+E370*E380+F370*F380+G370*G380+J370*J380+K370*K380+L370*L380+M370*M380+N370*N380+O370*O380+P370*P380+Q370*Q380</f>
        <v>0</v>
      </c>
    </row>
    <row r="381" spans="1:18" s="4" customFormat="1" ht="15.75" thickBot="1" x14ac:dyDescent="0.3">
      <c r="A381" s="88"/>
      <c r="B381" s="89"/>
      <c r="C381" s="34"/>
      <c r="D381" s="35"/>
      <c r="E381" s="35"/>
      <c r="F381" s="35"/>
      <c r="G381" s="35"/>
      <c r="H381" s="35"/>
      <c r="I381" s="35"/>
      <c r="J381" s="35"/>
      <c r="K381" s="35"/>
      <c r="L381" s="90"/>
      <c r="M381" s="90"/>
      <c r="N381" s="90"/>
      <c r="O381" s="91" t="s">
        <v>32</v>
      </c>
      <c r="P381" s="92"/>
      <c r="Q381" s="39"/>
      <c r="R381" s="67">
        <f>SUM(R371:R380)</f>
        <v>4725</v>
      </c>
    </row>
    <row r="382" spans="1:18" s="4" customFormat="1" ht="15.75" thickBot="1" x14ac:dyDescent="0.3">
      <c r="A382" s="40" t="s">
        <v>33</v>
      </c>
      <c r="B382" s="40"/>
      <c r="C382" s="40"/>
      <c r="D382" s="41">
        <f>SUM(D371:D380)</f>
        <v>0</v>
      </c>
      <c r="E382" s="41">
        <f>SUM(E371:E380)</f>
        <v>175</v>
      </c>
      <c r="F382" s="41">
        <f>SUM(F371:F380)</f>
        <v>0</v>
      </c>
      <c r="G382" s="41">
        <f>SUM(G371:G380)</f>
        <v>0</v>
      </c>
      <c r="H382" s="41">
        <f>SUM(H371:H380)</f>
        <v>0</v>
      </c>
      <c r="I382" s="41"/>
      <c r="J382" s="41">
        <f t="shared" ref="J382:Q382" si="48">SUM(J371:J380)</f>
        <v>0</v>
      </c>
      <c r="K382" s="41">
        <f t="shared" si="48"/>
        <v>0</v>
      </c>
      <c r="L382" s="41">
        <f t="shared" si="48"/>
        <v>0</v>
      </c>
      <c r="M382" s="41">
        <f t="shared" si="48"/>
        <v>0</v>
      </c>
      <c r="N382" s="41">
        <f t="shared" si="48"/>
        <v>0</v>
      </c>
      <c r="O382" s="41">
        <f t="shared" si="48"/>
        <v>0</v>
      </c>
      <c r="P382" s="41">
        <f t="shared" si="48"/>
        <v>0</v>
      </c>
      <c r="Q382" s="41">
        <f t="shared" si="48"/>
        <v>0</v>
      </c>
      <c r="R382" s="69">
        <f>SUM(D382:E382:F382:G382:J382:K382:L382:M382:N382:O382:P382:Q382)</f>
        <v>175</v>
      </c>
    </row>
    <row r="383" spans="1:18" s="4" customFormat="1" ht="15.75" thickBot="1" x14ac:dyDescent="0.3">
      <c r="A383" s="43" t="s">
        <v>34</v>
      </c>
      <c r="B383" s="43"/>
      <c r="C383" s="43"/>
      <c r="D383" s="44">
        <f>D370*D382</f>
        <v>0</v>
      </c>
      <c r="E383" s="44">
        <f>E370*E382</f>
        <v>4725</v>
      </c>
      <c r="F383" s="44">
        <f>F370*F382</f>
        <v>0</v>
      </c>
      <c r="G383" s="44">
        <f>G370*G382</f>
        <v>0</v>
      </c>
      <c r="H383" s="44">
        <f>H370*H382</f>
        <v>0</v>
      </c>
      <c r="I383" s="44"/>
      <c r="J383" s="44">
        <f t="shared" ref="J383:Q383" si="49">J370*J382</f>
        <v>0</v>
      </c>
      <c r="K383" s="44">
        <f t="shared" si="49"/>
        <v>0</v>
      </c>
      <c r="L383" s="44">
        <f t="shared" si="49"/>
        <v>0</v>
      </c>
      <c r="M383" s="44">
        <f t="shared" si="49"/>
        <v>0</v>
      </c>
      <c r="N383" s="44">
        <f t="shared" si="49"/>
        <v>0</v>
      </c>
      <c r="O383" s="44">
        <f t="shared" si="49"/>
        <v>0</v>
      </c>
      <c r="P383" s="44">
        <f t="shared" si="49"/>
        <v>0</v>
      </c>
      <c r="Q383" s="44">
        <f t="shared" si="49"/>
        <v>0</v>
      </c>
      <c r="R383" s="45">
        <f>SUM(D383:Q383)</f>
        <v>4725</v>
      </c>
    </row>
    <row r="386" spans="1:18" s="4" customFormat="1" ht="15.75" thickBot="1" x14ac:dyDescent="0.3">
      <c r="A386" s="1" t="s">
        <v>108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3"/>
    </row>
    <row r="387" spans="1:18" s="4" customFormat="1" ht="15.75" thickBot="1" x14ac:dyDescent="0.3">
      <c r="A387" s="5" t="s">
        <v>1</v>
      </c>
      <c r="B387" s="5" t="s">
        <v>2</v>
      </c>
      <c r="C387" s="6" t="s">
        <v>3</v>
      </c>
      <c r="D387" s="46" t="s">
        <v>36</v>
      </c>
      <c r="E387" s="8" t="s">
        <v>5</v>
      </c>
      <c r="F387" s="8" t="s">
        <v>37</v>
      </c>
      <c r="G387" s="8" t="s">
        <v>7</v>
      </c>
      <c r="H387" s="8" t="s">
        <v>45</v>
      </c>
      <c r="I387" s="148" t="s">
        <v>47</v>
      </c>
      <c r="J387" s="8" t="s">
        <v>10</v>
      </c>
      <c r="K387" s="10" t="s">
        <v>38</v>
      </c>
      <c r="L387" s="10" t="s">
        <v>39</v>
      </c>
      <c r="M387" s="10" t="s">
        <v>13</v>
      </c>
      <c r="N387" s="11" t="s">
        <v>14</v>
      </c>
      <c r="O387" s="11" t="s">
        <v>48</v>
      </c>
      <c r="P387" s="11" t="s">
        <v>16</v>
      </c>
      <c r="Q387" s="11" t="s">
        <v>49</v>
      </c>
      <c r="R387" s="12" t="s">
        <v>17</v>
      </c>
    </row>
    <row r="388" spans="1:18" s="4" customFormat="1" ht="15.75" thickBot="1" x14ac:dyDescent="0.3">
      <c r="A388" s="13"/>
      <c r="B388" s="13"/>
      <c r="C388" s="70"/>
      <c r="D388" s="48">
        <v>24.5</v>
      </c>
      <c r="E388" s="16">
        <v>27</v>
      </c>
      <c r="F388" s="18">
        <v>24.5</v>
      </c>
      <c r="G388" s="16">
        <v>27</v>
      </c>
      <c r="H388" s="16">
        <v>27</v>
      </c>
      <c r="I388" s="71">
        <v>24.5</v>
      </c>
      <c r="J388" s="16">
        <v>27</v>
      </c>
      <c r="K388" s="16">
        <v>27</v>
      </c>
      <c r="L388" s="16">
        <v>22</v>
      </c>
      <c r="M388" s="16">
        <v>22</v>
      </c>
      <c r="N388" s="18">
        <v>26.5</v>
      </c>
      <c r="O388" s="72">
        <v>29</v>
      </c>
      <c r="P388" s="19">
        <v>0</v>
      </c>
      <c r="Q388" s="19">
        <v>27</v>
      </c>
      <c r="R388" s="20"/>
    </row>
    <row r="389" spans="1:18" s="4" customFormat="1" ht="15.75" thickBot="1" x14ac:dyDescent="0.3">
      <c r="A389" s="21">
        <v>46265</v>
      </c>
      <c r="B389" s="74">
        <v>6722</v>
      </c>
      <c r="C389" s="75"/>
      <c r="D389" s="52"/>
      <c r="E389" s="53">
        <v>42</v>
      </c>
      <c r="F389" s="53"/>
      <c r="G389" s="53"/>
      <c r="H389" s="53"/>
      <c r="I389" s="53"/>
      <c r="J389" s="53"/>
      <c r="K389" s="53"/>
      <c r="L389" s="83"/>
      <c r="M389" s="53"/>
      <c r="N389" s="53"/>
      <c r="O389" s="83"/>
      <c r="P389" s="53"/>
      <c r="Q389" s="52"/>
      <c r="R389" s="134">
        <f>D388*D389+E388*E389+F388*F389+G388*G389+J388*J389+K388*K389+L388*L389+M388*M389+N386*N389+O388*O389+P386*P389+Q388*Q389+H388*H389+I388*I389</f>
        <v>1134</v>
      </c>
    </row>
    <row r="390" spans="1:18" s="4" customFormat="1" ht="15.75" thickBot="1" x14ac:dyDescent="0.3">
      <c r="A390" s="21">
        <v>46266</v>
      </c>
      <c r="B390" s="22">
        <v>6740</v>
      </c>
      <c r="C390" s="80"/>
      <c r="D390" s="52"/>
      <c r="E390" s="53">
        <v>30</v>
      </c>
      <c r="F390" s="53"/>
      <c r="G390" s="53"/>
      <c r="H390" s="53">
        <v>18</v>
      </c>
      <c r="I390" s="53"/>
      <c r="J390" s="53">
        <v>18</v>
      </c>
      <c r="K390" s="53"/>
      <c r="L390" s="53"/>
      <c r="M390" s="53"/>
      <c r="N390" s="53"/>
      <c r="O390" s="53"/>
      <c r="P390" s="53"/>
      <c r="Q390" s="52"/>
      <c r="R390" s="28">
        <f>D388*D390+E388*E390+F388*F390+G388*G390+J388*J390+L388*L390+K388*K390+M388*M390+N388*N390+O388*O390+P388*P390+Q388*Q390+H388*H390+I388*I390</f>
        <v>1782</v>
      </c>
    </row>
    <row r="391" spans="1:18" s="4" customFormat="1" ht="15.75" thickBot="1" x14ac:dyDescent="0.3">
      <c r="A391" s="27">
        <v>46267</v>
      </c>
      <c r="B391" s="22">
        <v>7374</v>
      </c>
      <c r="C391" s="80"/>
      <c r="D391" s="52"/>
      <c r="E391" s="53">
        <v>30</v>
      </c>
      <c r="F391" s="53"/>
      <c r="G391" s="76"/>
      <c r="H391" s="53"/>
      <c r="I391" s="53"/>
      <c r="J391" s="53"/>
      <c r="K391" s="53"/>
      <c r="L391" s="53"/>
      <c r="M391" s="53">
        <v>15</v>
      </c>
      <c r="N391" s="53"/>
      <c r="O391" s="53"/>
      <c r="P391" s="53"/>
      <c r="Q391" s="52"/>
      <c r="R391" s="28">
        <f>D388*D391+E388*E391+F388*F391+G388*G391+J388*J391+L388*L391+K388*K391+M388*M391+N388*N391+O388*O391+P388*P391+Q388*Q391+H388*H391+I388*I391</f>
        <v>1140</v>
      </c>
    </row>
    <row r="392" spans="1:18" s="4" customFormat="1" ht="15.75" thickBot="1" x14ac:dyDescent="0.3">
      <c r="A392" s="27">
        <v>46267</v>
      </c>
      <c r="B392" s="22">
        <v>6636</v>
      </c>
      <c r="C392" s="80"/>
      <c r="D392" s="52"/>
      <c r="E392" s="53"/>
      <c r="F392" s="53"/>
      <c r="G392" s="53"/>
      <c r="H392" s="53"/>
      <c r="I392" s="53"/>
      <c r="J392" s="53"/>
      <c r="K392" s="53"/>
      <c r="L392" s="53">
        <v>25</v>
      </c>
      <c r="M392" s="53"/>
      <c r="N392" s="53">
        <v>15</v>
      </c>
      <c r="O392" s="53">
        <v>18</v>
      </c>
      <c r="P392" s="53"/>
      <c r="Q392" s="52"/>
      <c r="R392" s="28">
        <f>D388*D392+E388*E392+F388*F392+G388*G392+J388*J392+L388*L392+K388*K392+M388*M392+N388*N392+O388*O392+P388*P392+Q388*Q392+H388*H392+I388*I392</f>
        <v>1469.5</v>
      </c>
    </row>
    <row r="393" spans="1:18" s="4" customFormat="1" ht="15.75" thickBot="1" x14ac:dyDescent="0.3">
      <c r="A393" s="27">
        <v>46268</v>
      </c>
      <c r="B393" s="22">
        <v>2341</v>
      </c>
      <c r="C393" s="80"/>
      <c r="D393" s="52"/>
      <c r="E393" s="53">
        <v>21</v>
      </c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2"/>
      <c r="R393" s="28">
        <f>D388*D393+E388*E393+F388*F393+G388*G393+J388*J393+L388*L393+K388*K393+M388*M393+N388*N393+O388*O393+P388*P393+Q388*Q393+H388*H393+I388*I393</f>
        <v>567</v>
      </c>
    </row>
    <row r="394" spans="1:18" s="4" customFormat="1" ht="15.75" thickBot="1" x14ac:dyDescent="0.3">
      <c r="A394" s="27">
        <v>46270</v>
      </c>
      <c r="B394" s="22" t="s">
        <v>109</v>
      </c>
      <c r="C394" s="82"/>
      <c r="D394" s="52"/>
      <c r="E394" s="84">
        <v>30</v>
      </c>
      <c r="F394" s="84"/>
      <c r="G394" s="84">
        <v>21</v>
      </c>
      <c r="H394" s="84">
        <v>10</v>
      </c>
      <c r="I394" s="56"/>
      <c r="J394" s="52"/>
      <c r="K394" s="57"/>
      <c r="L394" s="53"/>
      <c r="M394" s="52"/>
      <c r="N394" s="52"/>
      <c r="O394" s="52"/>
      <c r="P394" s="52"/>
      <c r="Q394" s="52">
        <v>10</v>
      </c>
      <c r="R394" s="134">
        <f>D388*D394+E388*E394+F388*F394+G388*G394+J388*J394+K388*K394+L388*L394+M388*M394+N388*N394+O388*O394+P388*P394+Q388*Q394+H388*H394+I388*I394</f>
        <v>1917</v>
      </c>
    </row>
    <row r="395" spans="1:18" s="4" customFormat="1" ht="15.75" thickBot="1" x14ac:dyDescent="0.3">
      <c r="A395" s="21">
        <v>46270</v>
      </c>
      <c r="B395" s="22">
        <v>6696</v>
      </c>
      <c r="C395" s="82"/>
      <c r="D395" s="56"/>
      <c r="E395" s="53"/>
      <c r="F395" s="53"/>
      <c r="G395" s="53"/>
      <c r="H395" s="53"/>
      <c r="I395" s="53"/>
      <c r="J395" s="53"/>
      <c r="K395" s="78"/>
      <c r="L395" s="52">
        <v>30</v>
      </c>
      <c r="M395" s="52"/>
      <c r="N395" s="52">
        <v>20</v>
      </c>
      <c r="O395" s="52">
        <v>24</v>
      </c>
      <c r="P395" s="52"/>
      <c r="Q395" s="52"/>
      <c r="R395" s="134">
        <f>D388*D395+E388*E395+F388*F395+G388*G395+J388*J395+K395*K388+L388*L395+M388*M395+N388*N395+O388*O395+P388*P395+Q388*Q395+H388*H395</f>
        <v>1886</v>
      </c>
    </row>
    <row r="396" spans="1:18" s="4" customFormat="1" ht="15.75" thickBot="1" x14ac:dyDescent="0.3">
      <c r="A396" s="27"/>
      <c r="B396" s="22"/>
      <c r="C396" s="23"/>
      <c r="D396" s="52"/>
      <c r="E396" s="53"/>
      <c r="F396" s="53"/>
      <c r="G396" s="53"/>
      <c r="H396" s="53"/>
      <c r="I396" s="53"/>
      <c r="J396" s="53"/>
      <c r="K396" s="52"/>
      <c r="L396" s="52"/>
      <c r="M396" s="52"/>
      <c r="N396" s="52"/>
      <c r="O396" s="52"/>
      <c r="P396" s="52"/>
      <c r="Q396" s="52"/>
      <c r="R396" s="135">
        <f>D388*D396+E388*E396+F388*F396+G388*G396+J388*J396+K388*K396+L388*L396+M388*M396+N388*N396+O388*O396+P388*P396+Q388*Q396</f>
        <v>0</v>
      </c>
    </row>
    <row r="397" spans="1:18" s="4" customFormat="1" ht="15.75" thickBot="1" x14ac:dyDescent="0.3">
      <c r="A397" s="27"/>
      <c r="B397" s="22"/>
      <c r="C397" s="23"/>
      <c r="D397" s="52"/>
      <c r="E397" s="66"/>
      <c r="F397" s="66"/>
      <c r="G397" s="66"/>
      <c r="H397" s="84"/>
      <c r="I397" s="84"/>
      <c r="J397" s="66"/>
      <c r="K397" s="66"/>
      <c r="L397" s="52"/>
      <c r="M397" s="52"/>
      <c r="N397" s="52"/>
      <c r="O397" s="52"/>
      <c r="P397" s="52"/>
      <c r="Q397" s="52"/>
      <c r="R397" s="135">
        <f>D388*D397+E388*E397+F388*F397+G388*G397+J388*J397+K388*K397+L388*L397+M388*M397+N388*N397+O388*O397+P388*P397+Q388*Q397</f>
        <v>0</v>
      </c>
    </row>
    <row r="398" spans="1:18" s="4" customFormat="1" ht="15.75" thickBot="1" x14ac:dyDescent="0.3">
      <c r="A398" s="23"/>
      <c r="B398" s="85"/>
      <c r="C398" s="86"/>
      <c r="D398" s="52"/>
      <c r="E398" s="52"/>
      <c r="F398" s="52"/>
      <c r="G398" s="52"/>
      <c r="H398" s="52"/>
      <c r="I398" s="52"/>
      <c r="J398" s="52"/>
      <c r="K398" s="52"/>
      <c r="L398" s="87"/>
      <c r="M398" s="87"/>
      <c r="N398" s="87"/>
      <c r="O398" s="87"/>
      <c r="P398" s="87"/>
      <c r="Q398" s="61"/>
      <c r="R398" s="135">
        <f>D388*D398+E388*E398+F388*F398+G388*G398+J388*J398+K388*K398+L388*L398+M388*M398+N388*N398+O388*O398+P388*P398+Q388*Q398</f>
        <v>0</v>
      </c>
    </row>
    <row r="399" spans="1:18" s="4" customFormat="1" ht="15.75" thickBot="1" x14ac:dyDescent="0.3">
      <c r="A399" s="88"/>
      <c r="B399" s="89"/>
      <c r="C399" s="34"/>
      <c r="D399" s="35"/>
      <c r="E399" s="35"/>
      <c r="F399" s="35"/>
      <c r="G399" s="35"/>
      <c r="H399" s="35"/>
      <c r="I399" s="35"/>
      <c r="J399" s="35"/>
      <c r="K399" s="35"/>
      <c r="L399" s="90"/>
      <c r="M399" s="90"/>
      <c r="N399" s="90"/>
      <c r="O399" s="91" t="s">
        <v>32</v>
      </c>
      <c r="P399" s="92"/>
      <c r="Q399" s="39"/>
      <c r="R399" s="67">
        <f>SUM(R389:R398)</f>
        <v>9895.5</v>
      </c>
    </row>
    <row r="400" spans="1:18" s="4" customFormat="1" ht="15.75" thickBot="1" x14ac:dyDescent="0.3">
      <c r="A400" s="40" t="s">
        <v>33</v>
      </c>
      <c r="B400" s="40"/>
      <c r="C400" s="40"/>
      <c r="D400" s="41">
        <f t="shared" ref="D400:Q400" si="50">SUM(D389:D398)</f>
        <v>0</v>
      </c>
      <c r="E400" s="41">
        <f t="shared" si="50"/>
        <v>153</v>
      </c>
      <c r="F400" s="41">
        <f t="shared" si="50"/>
        <v>0</v>
      </c>
      <c r="G400" s="41">
        <f t="shared" si="50"/>
        <v>21</v>
      </c>
      <c r="H400" s="41">
        <f t="shared" si="50"/>
        <v>28</v>
      </c>
      <c r="I400" s="41">
        <f t="shared" si="50"/>
        <v>0</v>
      </c>
      <c r="J400" s="41">
        <f t="shared" si="50"/>
        <v>18</v>
      </c>
      <c r="K400" s="41">
        <f t="shared" si="50"/>
        <v>0</v>
      </c>
      <c r="L400" s="41">
        <f t="shared" si="50"/>
        <v>55</v>
      </c>
      <c r="M400" s="41">
        <f t="shared" si="50"/>
        <v>15</v>
      </c>
      <c r="N400" s="41">
        <f t="shared" si="50"/>
        <v>35</v>
      </c>
      <c r="O400" s="41">
        <f t="shared" si="50"/>
        <v>42</v>
      </c>
      <c r="P400" s="41">
        <f t="shared" si="50"/>
        <v>0</v>
      </c>
      <c r="Q400" s="41">
        <f t="shared" si="50"/>
        <v>10</v>
      </c>
      <c r="R400" s="69">
        <f>SUM(D400:E400:F400:G400:J400:K400:L400:M400:N400:O400:P400:Q400)</f>
        <v>377</v>
      </c>
    </row>
    <row r="401" spans="1:18" s="4" customFormat="1" ht="15.75" thickBot="1" x14ac:dyDescent="0.3">
      <c r="A401" s="43" t="s">
        <v>34</v>
      </c>
      <c r="B401" s="43"/>
      <c r="C401" s="43"/>
      <c r="D401" s="44">
        <f t="shared" ref="D401:Q401" si="51">D388*D400</f>
        <v>0</v>
      </c>
      <c r="E401" s="44">
        <f t="shared" si="51"/>
        <v>4131</v>
      </c>
      <c r="F401" s="44">
        <f t="shared" si="51"/>
        <v>0</v>
      </c>
      <c r="G401" s="44">
        <f t="shared" si="51"/>
        <v>567</v>
      </c>
      <c r="H401" s="44">
        <f t="shared" si="51"/>
        <v>756</v>
      </c>
      <c r="I401" s="44">
        <f t="shared" si="51"/>
        <v>0</v>
      </c>
      <c r="J401" s="44">
        <f t="shared" si="51"/>
        <v>486</v>
      </c>
      <c r="K401" s="44">
        <f t="shared" si="51"/>
        <v>0</v>
      </c>
      <c r="L401" s="44">
        <f t="shared" si="51"/>
        <v>1210</v>
      </c>
      <c r="M401" s="44">
        <f t="shared" si="51"/>
        <v>330</v>
      </c>
      <c r="N401" s="44">
        <f t="shared" si="51"/>
        <v>927.5</v>
      </c>
      <c r="O401" s="44">
        <f t="shared" si="51"/>
        <v>1218</v>
      </c>
      <c r="P401" s="44">
        <f t="shared" si="51"/>
        <v>0</v>
      </c>
      <c r="Q401" s="44">
        <f t="shared" si="51"/>
        <v>270</v>
      </c>
      <c r="R401" s="45">
        <f>SUM(D401:Q401)</f>
        <v>9895.5</v>
      </c>
    </row>
    <row r="404" spans="1:18" s="4" customFormat="1" ht="15.75" thickBot="1" x14ac:dyDescent="0.3">
      <c r="A404" s="1" t="s">
        <v>110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3"/>
    </row>
    <row r="405" spans="1:18" s="4" customFormat="1" ht="15.75" thickBot="1" x14ac:dyDescent="0.3">
      <c r="A405" s="5" t="s">
        <v>1</v>
      </c>
      <c r="B405" s="5" t="s">
        <v>2</v>
      </c>
      <c r="C405" s="6" t="s">
        <v>3</v>
      </c>
      <c r="D405" s="46" t="s">
        <v>36</v>
      </c>
      <c r="E405" s="8" t="s">
        <v>5</v>
      </c>
      <c r="F405" s="8" t="s">
        <v>37</v>
      </c>
      <c r="G405" s="8" t="s">
        <v>7</v>
      </c>
      <c r="H405" s="8" t="s">
        <v>45</v>
      </c>
      <c r="I405" s="148" t="s">
        <v>47</v>
      </c>
      <c r="J405" s="8" t="s">
        <v>89</v>
      </c>
      <c r="K405" s="10" t="s">
        <v>38</v>
      </c>
      <c r="L405" s="10" t="s">
        <v>39</v>
      </c>
      <c r="M405" s="10" t="s">
        <v>13</v>
      </c>
      <c r="N405" s="11" t="s">
        <v>14</v>
      </c>
      <c r="O405" s="11" t="s">
        <v>48</v>
      </c>
      <c r="P405" s="11" t="s">
        <v>16</v>
      </c>
      <c r="Q405" s="11" t="s">
        <v>49</v>
      </c>
      <c r="R405" s="12" t="s">
        <v>17</v>
      </c>
    </row>
    <row r="406" spans="1:18" s="4" customFormat="1" ht="15.75" thickBot="1" x14ac:dyDescent="0.3">
      <c r="A406" s="13"/>
      <c r="B406" s="13"/>
      <c r="C406" s="70"/>
      <c r="D406" s="140">
        <v>27</v>
      </c>
      <c r="E406" s="71">
        <v>0</v>
      </c>
      <c r="F406" s="18">
        <v>27</v>
      </c>
      <c r="G406" s="71">
        <v>0</v>
      </c>
      <c r="H406" s="16">
        <v>27</v>
      </c>
      <c r="I406" s="71">
        <v>24.5</v>
      </c>
      <c r="J406" s="71">
        <v>26.5</v>
      </c>
      <c r="K406" s="18">
        <v>24.5</v>
      </c>
      <c r="L406" s="16">
        <v>22</v>
      </c>
      <c r="M406" s="18">
        <v>22</v>
      </c>
      <c r="N406" s="18">
        <v>26.5</v>
      </c>
      <c r="O406" s="72">
        <v>29</v>
      </c>
      <c r="P406" s="19">
        <v>0</v>
      </c>
      <c r="Q406" s="19">
        <v>24.5</v>
      </c>
      <c r="R406" s="20"/>
    </row>
    <row r="407" spans="1:18" s="4" customFormat="1" ht="15.75" thickBot="1" x14ac:dyDescent="0.3">
      <c r="A407" s="21">
        <v>46266</v>
      </c>
      <c r="B407" s="74">
        <v>6503</v>
      </c>
      <c r="C407" s="75"/>
      <c r="D407" s="53">
        <v>50</v>
      </c>
      <c r="E407" s="76"/>
      <c r="F407" s="53">
        <v>10</v>
      </c>
      <c r="G407" s="76"/>
      <c r="H407" s="77"/>
      <c r="I407" s="77"/>
      <c r="J407" s="52"/>
      <c r="K407" s="52"/>
      <c r="L407" s="53"/>
      <c r="M407" s="53"/>
      <c r="N407" s="53"/>
      <c r="O407" s="53"/>
      <c r="P407" s="52"/>
      <c r="Q407" s="52"/>
      <c r="R407" s="168">
        <f>D406*D407+N406*N407+O406*O407+L406*L407+F406*F407</f>
        <v>1620</v>
      </c>
    </row>
    <row r="408" spans="1:18" s="4" customFormat="1" ht="15.75" thickBot="1" x14ac:dyDescent="0.3">
      <c r="A408" s="21">
        <v>46268</v>
      </c>
      <c r="B408" s="169">
        <v>2502</v>
      </c>
      <c r="C408" s="80"/>
      <c r="D408" s="53"/>
      <c r="E408" s="76"/>
      <c r="F408" s="53"/>
      <c r="G408" s="76"/>
      <c r="H408" s="77"/>
      <c r="I408" s="77"/>
      <c r="J408" s="52"/>
      <c r="K408" s="52"/>
      <c r="L408" s="52">
        <v>60</v>
      </c>
      <c r="M408" s="52"/>
      <c r="N408" s="52"/>
      <c r="O408" s="52"/>
      <c r="P408" s="52"/>
      <c r="Q408" s="52"/>
      <c r="R408" s="168">
        <f>D406*D408+N406*N408+O406*O408+L406*L408+F406*F408</f>
        <v>1320</v>
      </c>
    </row>
    <row r="409" spans="1:18" s="4" customFormat="1" ht="15.75" thickBot="1" x14ac:dyDescent="0.3">
      <c r="A409" s="27"/>
      <c r="B409" s="169"/>
      <c r="C409" s="80"/>
      <c r="D409" s="53"/>
      <c r="E409" s="76"/>
      <c r="F409" s="53"/>
      <c r="G409" s="76"/>
      <c r="H409" s="77"/>
      <c r="I409" s="77"/>
      <c r="J409" s="52"/>
      <c r="K409" s="52"/>
      <c r="L409" s="52"/>
      <c r="M409" s="52"/>
      <c r="N409" s="52"/>
      <c r="O409" s="52"/>
      <c r="P409" s="52"/>
      <c r="Q409" s="52"/>
      <c r="R409" s="168">
        <f>D406*D409+N406*N409+F406*F409+H406*H409+O406*O409+L406*L409</f>
        <v>0</v>
      </c>
    </row>
    <row r="410" spans="1:18" s="4" customFormat="1" ht="15.75" thickBot="1" x14ac:dyDescent="0.3">
      <c r="A410" s="27" t="s">
        <v>111</v>
      </c>
      <c r="B410" s="22"/>
      <c r="C410" s="80"/>
      <c r="D410" s="170"/>
      <c r="E410" s="171"/>
      <c r="F410" s="170"/>
      <c r="G410" s="171"/>
      <c r="H410" s="172"/>
      <c r="I410" s="172"/>
      <c r="J410" s="173"/>
      <c r="K410" s="173"/>
      <c r="L410" s="173"/>
      <c r="M410" s="173"/>
      <c r="N410" s="173"/>
      <c r="O410" s="173"/>
      <c r="P410" s="173"/>
      <c r="Q410" s="173"/>
      <c r="R410" s="28">
        <f>D406*D410+E406*E410+F406*F410+G406*G410+J406*J410+L406*L410+K406*K410+M406*M410+N406*N410+O406*O410+P406*P410+Q406*Q410+H406*H410+I406*I410</f>
        <v>0</v>
      </c>
    </row>
    <row r="411" spans="1:18" s="4" customFormat="1" ht="15.75" thickBot="1" x14ac:dyDescent="0.3">
      <c r="A411" s="23">
        <v>318</v>
      </c>
      <c r="B411" s="85">
        <v>4861</v>
      </c>
      <c r="C411" s="86"/>
      <c r="D411" s="53">
        <v>35</v>
      </c>
      <c r="E411" s="52"/>
      <c r="F411" s="53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61"/>
      <c r="R411" s="135">
        <f>D406*D411+E406*E411+F406*F411+G406*G411+J406*J411+K406*K411+L406*L411+M406*M411+N406*N411+O406*O411+P406*P411+Q406*Q411+H406*H411</f>
        <v>945</v>
      </c>
    </row>
    <row r="412" spans="1:18" s="4" customFormat="1" ht="15.75" thickBot="1" x14ac:dyDescent="0.3">
      <c r="A412" s="23">
        <v>46266</v>
      </c>
      <c r="B412" s="85">
        <v>1985</v>
      </c>
      <c r="C412" s="86"/>
      <c r="D412" s="53">
        <v>105</v>
      </c>
      <c r="E412" s="52"/>
      <c r="F412" s="53"/>
      <c r="G412" s="52"/>
      <c r="H412" s="52"/>
      <c r="I412" s="52"/>
      <c r="J412" s="52"/>
      <c r="K412" s="52"/>
      <c r="L412" s="52"/>
      <c r="M412" s="52">
        <v>10</v>
      </c>
      <c r="N412" s="52"/>
      <c r="O412" s="52"/>
      <c r="P412" s="52"/>
      <c r="Q412" s="61"/>
      <c r="R412" s="135">
        <f>D406*D412+M406*M412</f>
        <v>3055</v>
      </c>
    </row>
    <row r="413" spans="1:18" s="4" customFormat="1" ht="15.75" thickBot="1" x14ac:dyDescent="0.3">
      <c r="A413" s="23">
        <v>46267</v>
      </c>
      <c r="B413" s="85">
        <v>4958</v>
      </c>
      <c r="C413" s="86"/>
      <c r="D413" s="53">
        <v>42</v>
      </c>
      <c r="E413" s="52"/>
      <c r="F413" s="53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61"/>
      <c r="R413" s="135">
        <f>D406*D413+E408*E413+F406*F413+G408*G413+J408*J413+K408*K413+L408*L413+M408*M413+N407*N413+O408*O413+P408*P413+Q408*Q413+H407*H413</f>
        <v>1134</v>
      </c>
    </row>
    <row r="414" spans="1:18" s="4" customFormat="1" ht="15.75" thickBot="1" x14ac:dyDescent="0.3">
      <c r="A414" s="23">
        <v>46270</v>
      </c>
      <c r="B414" s="85">
        <v>4976</v>
      </c>
      <c r="C414" s="86"/>
      <c r="D414" s="52">
        <v>35</v>
      </c>
      <c r="E414" s="52"/>
      <c r="F414" s="52">
        <v>3</v>
      </c>
      <c r="G414" s="52"/>
      <c r="H414" s="52"/>
      <c r="I414" s="52"/>
      <c r="J414" s="52"/>
      <c r="K414" s="52"/>
      <c r="L414" s="87"/>
      <c r="M414" s="87"/>
      <c r="N414" s="87"/>
      <c r="O414" s="87"/>
      <c r="P414" s="87"/>
      <c r="Q414" s="61"/>
      <c r="R414" s="135">
        <f>D406*D414+E409*E414+F406*F414+G409*G414+J409*J414+K409*K414+L409*L414+M409*M414+N407*N414+O409*O414+P409*P414+Q409*Q414</f>
        <v>1026</v>
      </c>
    </row>
    <row r="415" spans="1:18" s="4" customFormat="1" ht="15.75" thickBot="1" x14ac:dyDescent="0.3">
      <c r="A415" s="88"/>
      <c r="B415" s="89"/>
      <c r="C415" s="34"/>
      <c r="D415" s="35"/>
      <c r="E415" s="35"/>
      <c r="F415" s="35"/>
      <c r="G415" s="35"/>
      <c r="H415" s="35"/>
      <c r="I415" s="35"/>
      <c r="J415" s="35"/>
      <c r="K415" s="35"/>
      <c r="L415" s="90"/>
      <c r="M415" s="90"/>
      <c r="N415" s="90"/>
      <c r="O415" s="91" t="s">
        <v>32</v>
      </c>
      <c r="P415" s="92"/>
      <c r="Q415" s="39"/>
      <c r="R415" s="67">
        <f>SUM(R407:R414)</f>
        <v>9100</v>
      </c>
    </row>
    <row r="416" spans="1:18" s="4" customFormat="1" ht="15.75" thickBot="1" x14ac:dyDescent="0.3">
      <c r="A416" s="174" t="s">
        <v>33</v>
      </c>
      <c r="B416" s="40"/>
      <c r="C416" s="40"/>
      <c r="D416" s="41">
        <f>SUM(D407:D414)</f>
        <v>267</v>
      </c>
      <c r="E416" s="41">
        <f t="shared" ref="E416:Q416" si="52">SUM(E407:E411)</f>
        <v>0</v>
      </c>
      <c r="F416" s="41">
        <f>SUM(F407:F414)</f>
        <v>13</v>
      </c>
      <c r="G416" s="41">
        <f t="shared" si="52"/>
        <v>0</v>
      </c>
      <c r="H416" s="41">
        <f t="shared" si="52"/>
        <v>0</v>
      </c>
      <c r="I416" s="41">
        <f t="shared" si="52"/>
        <v>0</v>
      </c>
      <c r="J416" s="41">
        <f t="shared" si="52"/>
        <v>0</v>
      </c>
      <c r="K416" s="41">
        <f t="shared" si="52"/>
        <v>0</v>
      </c>
      <c r="L416" s="41">
        <f t="shared" si="52"/>
        <v>60</v>
      </c>
      <c r="M416" s="41">
        <f>SUM(M407:M414)</f>
        <v>10</v>
      </c>
      <c r="N416" s="41">
        <f>SUM(N407:N414)</f>
        <v>0</v>
      </c>
      <c r="O416" s="41">
        <f t="shared" si="52"/>
        <v>0</v>
      </c>
      <c r="P416" s="41">
        <f t="shared" si="52"/>
        <v>0</v>
      </c>
      <c r="Q416" s="41">
        <f t="shared" si="52"/>
        <v>0</v>
      </c>
      <c r="R416" s="69">
        <f>SUM(D416:E416:F416:G416:J416:K416:L416:M416:N416:O416:P416:Q416)</f>
        <v>350</v>
      </c>
    </row>
    <row r="417" spans="1:18" s="4" customFormat="1" ht="15.75" thickBot="1" x14ac:dyDescent="0.3">
      <c r="A417" s="175" t="s">
        <v>34</v>
      </c>
      <c r="B417" s="43"/>
      <c r="C417" s="43"/>
      <c r="D417" s="44">
        <f t="shared" ref="D417:Q417" si="53">D406*D416</f>
        <v>7209</v>
      </c>
      <c r="E417" s="44">
        <f t="shared" si="53"/>
        <v>0</v>
      </c>
      <c r="F417" s="44">
        <f t="shared" si="53"/>
        <v>351</v>
      </c>
      <c r="G417" s="44">
        <f t="shared" si="53"/>
        <v>0</v>
      </c>
      <c r="H417" s="44">
        <f t="shared" si="53"/>
        <v>0</v>
      </c>
      <c r="I417" s="44">
        <f t="shared" si="53"/>
        <v>0</v>
      </c>
      <c r="J417" s="44">
        <f t="shared" si="53"/>
        <v>0</v>
      </c>
      <c r="K417" s="44">
        <f t="shared" si="53"/>
        <v>0</v>
      </c>
      <c r="L417" s="44">
        <f t="shared" si="53"/>
        <v>1320</v>
      </c>
      <c r="M417" s="44">
        <f t="shared" si="53"/>
        <v>220</v>
      </c>
      <c r="N417" s="44">
        <f t="shared" si="53"/>
        <v>0</v>
      </c>
      <c r="O417" s="44">
        <f t="shared" si="53"/>
        <v>0</v>
      </c>
      <c r="P417" s="44">
        <f t="shared" si="53"/>
        <v>0</v>
      </c>
      <c r="Q417" s="44">
        <f t="shared" si="53"/>
        <v>0</v>
      </c>
      <c r="R417" s="45">
        <f>SUM(D417:O417)</f>
        <v>9100</v>
      </c>
    </row>
    <row r="419" spans="1:18" ht="15.75" thickBot="1" x14ac:dyDescent="0.3">
      <c r="A419" s="1" t="s">
        <v>112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3"/>
    </row>
    <row r="420" spans="1:18" ht="15.75" thickBot="1" x14ac:dyDescent="0.3">
      <c r="A420" s="5" t="s">
        <v>1</v>
      </c>
      <c r="B420" s="5" t="s">
        <v>2</v>
      </c>
      <c r="C420" s="6" t="s">
        <v>3</v>
      </c>
      <c r="D420" s="46" t="s">
        <v>36</v>
      </c>
      <c r="E420" s="8" t="s">
        <v>5</v>
      </c>
      <c r="F420" s="8" t="s">
        <v>37</v>
      </c>
      <c r="G420" s="8" t="s">
        <v>7</v>
      </c>
      <c r="H420" s="8" t="s">
        <v>45</v>
      </c>
      <c r="I420" s="148" t="s">
        <v>47</v>
      </c>
      <c r="J420" s="8" t="s">
        <v>89</v>
      </c>
      <c r="K420" s="10" t="s">
        <v>38</v>
      </c>
      <c r="L420" s="10" t="s">
        <v>39</v>
      </c>
      <c r="M420" s="10" t="s">
        <v>13</v>
      </c>
      <c r="N420" s="11" t="s">
        <v>14</v>
      </c>
      <c r="O420" s="11" t="s">
        <v>48</v>
      </c>
      <c r="P420" s="11">
        <v>0.8</v>
      </c>
      <c r="Q420" s="11">
        <v>0.8</v>
      </c>
      <c r="R420" s="12" t="s">
        <v>17</v>
      </c>
    </row>
    <row r="421" spans="1:18" ht="15.75" thickBot="1" x14ac:dyDescent="0.3">
      <c r="A421" s="13"/>
      <c r="B421" s="13"/>
      <c r="C421" s="70"/>
      <c r="D421" s="48">
        <v>24.5</v>
      </c>
      <c r="E421" s="16">
        <v>27</v>
      </c>
      <c r="F421" s="16">
        <v>24.5</v>
      </c>
      <c r="G421" s="71">
        <v>0</v>
      </c>
      <c r="H421" s="71">
        <v>27</v>
      </c>
      <c r="I421" s="71">
        <v>24.5</v>
      </c>
      <c r="J421" s="71">
        <v>26.5</v>
      </c>
      <c r="K421" s="18">
        <v>24.5</v>
      </c>
      <c r="L421" s="18">
        <v>20</v>
      </c>
      <c r="M421" s="18">
        <v>22</v>
      </c>
      <c r="N421" s="18">
        <v>26.5</v>
      </c>
      <c r="O421" s="19">
        <v>24</v>
      </c>
      <c r="P421" s="19">
        <v>22</v>
      </c>
      <c r="Q421" s="72">
        <v>24.5</v>
      </c>
      <c r="R421" s="20"/>
    </row>
    <row r="422" spans="1:18" ht="15.75" thickBot="1" x14ac:dyDescent="0.3">
      <c r="A422" s="21">
        <v>46269</v>
      </c>
      <c r="B422" s="74">
        <v>6807</v>
      </c>
      <c r="C422" s="75"/>
      <c r="D422" s="52"/>
      <c r="E422" s="53">
        <v>53</v>
      </c>
      <c r="F422" s="52"/>
      <c r="G422" s="53"/>
      <c r="H422" s="56"/>
      <c r="I422" s="56"/>
      <c r="J422" s="52"/>
      <c r="K422" s="52"/>
      <c r="L422" s="52"/>
      <c r="M422" s="52">
        <v>5</v>
      </c>
      <c r="N422" s="52"/>
      <c r="O422" s="52"/>
      <c r="P422" s="52"/>
      <c r="Q422" s="53"/>
      <c r="R422" s="135">
        <f>D416*D422+E421*E422+F416*F422+G417*G422+J417*J422+K421*K422+L417*L422+M421*M422+N416*N422+O417*O422+P417*P422+Q421*Q422+H421*H422</f>
        <v>1541</v>
      </c>
    </row>
    <row r="423" spans="1:18" ht="15.75" thickBot="1" x14ac:dyDescent="0.3">
      <c r="A423" s="27"/>
      <c r="B423" s="169"/>
      <c r="C423" s="80"/>
      <c r="D423" s="52"/>
      <c r="E423" s="53"/>
      <c r="F423" s="52"/>
      <c r="G423" s="53"/>
      <c r="H423" s="56"/>
      <c r="I423" s="56"/>
      <c r="J423" s="52"/>
      <c r="K423" s="52"/>
      <c r="L423" s="52"/>
      <c r="M423" s="52"/>
      <c r="N423" s="52"/>
      <c r="O423" s="52"/>
      <c r="P423" s="52"/>
      <c r="Q423" s="53"/>
      <c r="R423" s="168">
        <f>D421*D423+E421*E423+F421*F423+G421*G423+J421*J423+K421*K423+L421*L423+M421*M423+N421*N423+O421*O423+P421*P423+Q421*Q423+H421*H423+I421*I423</f>
        <v>0</v>
      </c>
    </row>
    <row r="424" spans="1:18" ht="15.75" thickBot="1" x14ac:dyDescent="0.3">
      <c r="A424" s="27"/>
      <c r="B424" s="169"/>
      <c r="C424" s="80"/>
      <c r="D424" s="52"/>
      <c r="E424" s="53"/>
      <c r="F424" s="52"/>
      <c r="G424" s="53"/>
      <c r="H424" s="56"/>
      <c r="I424" s="56"/>
      <c r="J424" s="52"/>
      <c r="K424" s="52"/>
      <c r="L424" s="52"/>
      <c r="M424" s="52"/>
      <c r="N424" s="52"/>
      <c r="O424" s="52"/>
      <c r="P424" s="52"/>
      <c r="Q424" s="53"/>
      <c r="R424" s="168">
        <f>D421*D424+E421*E424+F421*F424+G421*G424+J421*J424+K421*K424+L421*L424+M421*M424+N421*N424+O421*O424+P421*P424+Q421*Q424+H421*H424+I421*I424</f>
        <v>0</v>
      </c>
    </row>
    <row r="425" spans="1:18" ht="15.75" thickBot="1" x14ac:dyDescent="0.3">
      <c r="A425" s="27"/>
      <c r="B425" s="22"/>
      <c r="C425" s="80"/>
      <c r="D425" s="52"/>
      <c r="E425" s="53"/>
      <c r="F425" s="52"/>
      <c r="G425" s="53"/>
      <c r="H425" s="56"/>
      <c r="I425" s="56"/>
      <c r="J425" s="52"/>
      <c r="K425" s="52"/>
      <c r="L425" s="52"/>
      <c r="M425" s="52"/>
      <c r="N425" s="52"/>
      <c r="O425" s="52"/>
      <c r="P425" s="52"/>
      <c r="Q425" s="52"/>
      <c r="R425" s="28">
        <f>D421*D425+E421*E425+F421*F425+G421*G425+J421*J425+L421*L425+K421*K425+M421*M425+N421*N425+O421*O425+P421*P425+Q421*Q425+H421*H425+I421*I425</f>
        <v>0</v>
      </c>
    </row>
    <row r="426" spans="1:18" ht="15.75" thickBot="1" x14ac:dyDescent="0.3">
      <c r="A426" s="23"/>
      <c r="B426" s="85"/>
      <c r="C426" s="86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61"/>
      <c r="R426" s="135">
        <f>D421*D426+E421*E426+F421*F426+G421*G426+J421*J426+K421*K426+L421*L426+M421*M426+N421*N426+O421*O426+P421*P426+Q421*Q426+H421*H426+I421*I426</f>
        <v>0</v>
      </c>
    </row>
    <row r="427" spans="1:18" ht="15.75" thickBot="1" x14ac:dyDescent="0.3">
      <c r="A427" s="23"/>
      <c r="B427" s="85"/>
      <c r="C427" s="86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61"/>
      <c r="R427" s="135">
        <f>D421*D427+E421*E427+F421*F427+G421*G427+J421*J427+K421*K427+L421*L427+M421*M427+N421*N427+O421*O427+P421*P427+Q421*Q427+H421*H427+I421*I427</f>
        <v>0</v>
      </c>
    </row>
    <row r="428" spans="1:18" ht="15.75" thickBot="1" x14ac:dyDescent="0.3">
      <c r="A428" s="23"/>
      <c r="B428" s="85"/>
      <c r="C428" s="86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61"/>
      <c r="R428" s="135">
        <f>D421*D428+E421*E428+F421*F428+G421*G428+J421*J428+K421*K428+L421*L428+M421*M428+N421*N428+O421*O428+P421*P428+Q421*Q428+H421*H428+I421*I428</f>
        <v>0</v>
      </c>
    </row>
    <row r="429" spans="1:18" ht="15.75" thickBot="1" x14ac:dyDescent="0.3">
      <c r="A429" s="23"/>
      <c r="B429" s="85"/>
      <c r="C429" s="86"/>
      <c r="D429" s="52"/>
      <c r="E429" s="52"/>
      <c r="F429" s="52"/>
      <c r="G429" s="52"/>
      <c r="H429" s="52"/>
      <c r="I429" s="52"/>
      <c r="J429" s="52"/>
      <c r="K429" s="52"/>
      <c r="L429" s="87"/>
      <c r="M429" s="87"/>
      <c r="N429" s="87"/>
      <c r="O429" s="87"/>
      <c r="P429" s="87"/>
      <c r="Q429" s="61"/>
      <c r="R429" s="135">
        <f>D421*D429+E421*E429+F421*F429+G421*G429+J421*J429+K421*K429+L421*L429+M421*M429+N421*N429+O421*O429+P421*P429+Q421*Q429</f>
        <v>0</v>
      </c>
    </row>
    <row r="430" spans="1:18" ht="15.75" thickBot="1" x14ac:dyDescent="0.3">
      <c r="A430" s="88"/>
      <c r="B430" s="89"/>
      <c r="C430" s="34"/>
      <c r="D430" s="35"/>
      <c r="E430" s="35"/>
      <c r="F430" s="35"/>
      <c r="G430" s="35"/>
      <c r="H430" s="35"/>
      <c r="I430" s="35"/>
      <c r="J430" s="35"/>
      <c r="K430" s="35"/>
      <c r="L430" s="90"/>
      <c r="M430" s="90"/>
      <c r="N430" s="90"/>
      <c r="O430" s="91" t="s">
        <v>32</v>
      </c>
      <c r="P430" s="92"/>
      <c r="Q430" s="39"/>
      <c r="R430" s="67">
        <f>SUM(R422:R429)</f>
        <v>1541</v>
      </c>
    </row>
    <row r="431" spans="1:18" ht="15.75" thickBot="1" x14ac:dyDescent="0.3">
      <c r="A431" s="174" t="s">
        <v>33</v>
      </c>
      <c r="B431" s="40"/>
      <c r="C431" s="40"/>
      <c r="D431" s="41">
        <f>SUM(D422:D429)</f>
        <v>0</v>
      </c>
      <c r="E431" s="41">
        <f>SUM(E422:E429)</f>
        <v>53</v>
      </c>
      <c r="F431" s="41">
        <f t="shared" ref="F431:M431" si="54">SUM(F422:F426)</f>
        <v>0</v>
      </c>
      <c r="G431" s="41">
        <f t="shared" si="54"/>
        <v>0</v>
      </c>
      <c r="H431" s="41">
        <f t="shared" si="54"/>
        <v>0</v>
      </c>
      <c r="I431" s="41">
        <f t="shared" si="54"/>
        <v>0</v>
      </c>
      <c r="J431" s="41">
        <f t="shared" si="54"/>
        <v>0</v>
      </c>
      <c r="K431" s="41">
        <f t="shared" si="54"/>
        <v>0</v>
      </c>
      <c r="L431" s="41">
        <f t="shared" si="54"/>
        <v>0</v>
      </c>
      <c r="M431" s="41">
        <f t="shared" si="54"/>
        <v>5</v>
      </c>
      <c r="N431" s="41">
        <f>SUM(N422:N429)</f>
        <v>0</v>
      </c>
      <c r="O431" s="41">
        <f t="shared" ref="O431:Q431" si="55">SUM(O422:O426)</f>
        <v>0</v>
      </c>
      <c r="P431" s="41">
        <f t="shared" si="55"/>
        <v>0</v>
      </c>
      <c r="Q431" s="41">
        <f t="shared" si="55"/>
        <v>0</v>
      </c>
      <c r="R431" s="69">
        <f>SUM(D431:E431:F431:G431:J431:K431:L431:M431:N431:O431:P431:Q431)</f>
        <v>58</v>
      </c>
    </row>
    <row r="432" spans="1:18" ht="15.75" thickBot="1" x14ac:dyDescent="0.3">
      <c r="A432" s="175" t="s">
        <v>34</v>
      </c>
      <c r="B432" s="43"/>
      <c r="C432" s="43"/>
      <c r="D432" s="44">
        <f t="shared" ref="D432:O432" si="56">D421*D431</f>
        <v>0</v>
      </c>
      <c r="E432" s="44">
        <f t="shared" si="56"/>
        <v>1431</v>
      </c>
      <c r="F432" s="44">
        <f t="shared" si="56"/>
        <v>0</v>
      </c>
      <c r="G432" s="44">
        <f t="shared" si="56"/>
        <v>0</v>
      </c>
      <c r="H432" s="44">
        <f t="shared" si="56"/>
        <v>0</v>
      </c>
      <c r="I432" s="44">
        <f t="shared" si="56"/>
        <v>0</v>
      </c>
      <c r="J432" s="44">
        <f t="shared" si="56"/>
        <v>0</v>
      </c>
      <c r="K432" s="44">
        <f t="shared" si="56"/>
        <v>0</v>
      </c>
      <c r="L432" s="44">
        <f t="shared" si="56"/>
        <v>0</v>
      </c>
      <c r="M432" s="44">
        <f t="shared" si="56"/>
        <v>110</v>
      </c>
      <c r="N432" s="44">
        <f t="shared" si="56"/>
        <v>0</v>
      </c>
      <c r="O432" s="44">
        <f t="shared" si="56"/>
        <v>0</v>
      </c>
      <c r="P432" s="44">
        <f>P421*P431</f>
        <v>0</v>
      </c>
      <c r="Q432" s="44">
        <f>Q421*Q431</f>
        <v>0</v>
      </c>
      <c r="R432" s="45">
        <f>SUM(D432:Q432)</f>
        <v>1541</v>
      </c>
    </row>
    <row r="436" spans="1:18" s="4" customFormat="1" ht="15.75" thickBot="1" x14ac:dyDescent="0.3">
      <c r="A436" s="1" t="s">
        <v>113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3"/>
    </row>
    <row r="437" spans="1:18" s="4" customFormat="1" ht="15.75" thickBot="1" x14ac:dyDescent="0.3">
      <c r="A437" s="5" t="s">
        <v>1</v>
      </c>
      <c r="B437" s="5" t="s">
        <v>2</v>
      </c>
      <c r="C437" s="6" t="s">
        <v>3</v>
      </c>
      <c r="D437" s="46" t="s">
        <v>36</v>
      </c>
      <c r="E437" s="8" t="s">
        <v>5</v>
      </c>
      <c r="F437" s="8" t="s">
        <v>37</v>
      </c>
      <c r="G437" s="8" t="s">
        <v>7</v>
      </c>
      <c r="H437" s="8" t="s">
        <v>45</v>
      </c>
      <c r="I437" s="148" t="s">
        <v>47</v>
      </c>
      <c r="J437" s="8" t="s">
        <v>89</v>
      </c>
      <c r="K437" s="10" t="s">
        <v>38</v>
      </c>
      <c r="L437" s="10" t="s">
        <v>39</v>
      </c>
      <c r="M437" s="10" t="s">
        <v>13</v>
      </c>
      <c r="N437" s="11" t="s">
        <v>14</v>
      </c>
      <c r="O437" s="11" t="s">
        <v>48</v>
      </c>
      <c r="P437" s="11" t="s">
        <v>16</v>
      </c>
      <c r="Q437" s="11" t="s">
        <v>49</v>
      </c>
      <c r="R437" s="12" t="s">
        <v>17</v>
      </c>
    </row>
    <row r="438" spans="1:18" s="4" customFormat="1" ht="15.75" thickBot="1" x14ac:dyDescent="0.3">
      <c r="A438" s="13"/>
      <c r="B438" s="13"/>
      <c r="C438" s="70"/>
      <c r="D438" s="48">
        <v>24.5</v>
      </c>
      <c r="E438" s="71">
        <v>0</v>
      </c>
      <c r="F438" s="18">
        <v>24.5</v>
      </c>
      <c r="G438" s="71">
        <v>0</v>
      </c>
      <c r="H438" s="71">
        <v>24.5</v>
      </c>
      <c r="I438" s="71">
        <v>24.5</v>
      </c>
      <c r="J438" s="71">
        <v>26.5</v>
      </c>
      <c r="K438" s="18">
        <v>24.5</v>
      </c>
      <c r="L438" s="18">
        <v>20</v>
      </c>
      <c r="M438" s="18">
        <v>19.5</v>
      </c>
      <c r="N438" s="18">
        <v>26.5</v>
      </c>
      <c r="O438" s="19">
        <v>24</v>
      </c>
      <c r="P438" s="19">
        <v>0</v>
      </c>
      <c r="Q438" s="19">
        <v>24.5</v>
      </c>
      <c r="R438" s="20"/>
    </row>
    <row r="439" spans="1:18" s="4" customFormat="1" ht="15.75" thickBot="1" x14ac:dyDescent="0.3">
      <c r="A439" s="27"/>
      <c r="B439" s="74"/>
      <c r="C439" s="75"/>
      <c r="D439" s="52"/>
      <c r="E439" s="76"/>
      <c r="F439" s="52"/>
      <c r="G439" s="76"/>
      <c r="H439" s="77"/>
      <c r="I439" s="77"/>
      <c r="J439" s="52"/>
      <c r="K439" s="52"/>
      <c r="L439" s="52"/>
      <c r="M439" s="52"/>
      <c r="N439" s="52"/>
      <c r="O439" s="78"/>
      <c r="P439" s="52"/>
      <c r="Q439" s="52"/>
      <c r="R439" s="79">
        <f>D438*D439+E436*E439+F438*F439+G436*G439+J438*J439+K438*K439+L438*L439+M438*M439+N438*N439+O438*O439+P436*P439+Q438*Q439+H438*H439+I438*I439</f>
        <v>0</v>
      </c>
    </row>
    <row r="440" spans="1:18" s="4" customFormat="1" ht="15.75" thickBot="1" x14ac:dyDescent="0.3">
      <c r="A440" s="27"/>
      <c r="B440" s="169"/>
      <c r="C440" s="80"/>
      <c r="D440" s="52"/>
      <c r="E440" s="76"/>
      <c r="F440" s="52"/>
      <c r="G440" s="76"/>
      <c r="H440" s="77"/>
      <c r="I440" s="77"/>
      <c r="J440" s="52"/>
      <c r="K440" s="52"/>
      <c r="L440" s="78"/>
      <c r="M440" s="52"/>
      <c r="N440" s="52"/>
      <c r="O440" s="78"/>
      <c r="P440" s="52"/>
      <c r="Q440" s="52"/>
      <c r="R440" s="79">
        <f>D438*D440+N438*N440</f>
        <v>0</v>
      </c>
    </row>
    <row r="441" spans="1:18" s="4" customFormat="1" ht="15.75" thickBot="1" x14ac:dyDescent="0.3">
      <c r="A441" s="27"/>
      <c r="B441" s="169"/>
      <c r="C441" s="80"/>
      <c r="D441" s="52"/>
      <c r="E441" s="76"/>
      <c r="F441" s="52"/>
      <c r="G441" s="76"/>
      <c r="H441" s="77"/>
      <c r="I441" s="77"/>
      <c r="J441" s="52"/>
      <c r="K441" s="52"/>
      <c r="L441" s="78"/>
      <c r="M441" s="52"/>
      <c r="N441" s="52"/>
      <c r="O441" s="78"/>
      <c r="P441" s="52"/>
      <c r="Q441" s="52"/>
      <c r="R441" s="79">
        <f>D438*D441+N438*N441</f>
        <v>0</v>
      </c>
    </row>
    <row r="442" spans="1:18" s="4" customFormat="1" ht="15.75" thickBot="1" x14ac:dyDescent="0.3">
      <c r="A442" s="27"/>
      <c r="B442" s="22"/>
      <c r="C442" s="80"/>
      <c r="D442" s="52"/>
      <c r="E442" s="76"/>
      <c r="F442" s="52"/>
      <c r="G442" s="76"/>
      <c r="H442" s="77"/>
      <c r="I442" s="106"/>
      <c r="J442" s="52"/>
      <c r="K442" s="52"/>
      <c r="L442" s="52"/>
      <c r="M442" s="52"/>
      <c r="N442" s="52"/>
      <c r="O442" s="52"/>
      <c r="P442" s="52"/>
      <c r="Q442" s="52"/>
      <c r="R442" s="59">
        <f>D438*D442+E439*E442+F439*F442+G439*G442+J439*J442+L438*L442+K439*K442+M439*M442+N438*N442+O438*O442+P439*P442+Q439*Q442+H439*H442+I439*I442</f>
        <v>0</v>
      </c>
    </row>
    <row r="443" spans="1:18" s="4" customFormat="1" ht="15.75" thickBot="1" x14ac:dyDescent="0.3">
      <c r="A443" s="23"/>
      <c r="B443" s="85"/>
      <c r="C443" s="86"/>
      <c r="D443" s="52"/>
      <c r="E443" s="52"/>
      <c r="F443" s="52"/>
      <c r="G443" s="52"/>
      <c r="H443" s="52"/>
      <c r="I443" s="52"/>
      <c r="J443" s="52"/>
      <c r="K443" s="52"/>
      <c r="L443" s="87"/>
      <c r="M443" s="87"/>
      <c r="N443" s="87"/>
      <c r="O443" s="87"/>
      <c r="P443" s="87"/>
      <c r="Q443" s="61"/>
      <c r="R443" s="65">
        <f>D438*D443+E438*E443+F438*F443+G438*G443+J438*J443+K438*K443+L438*L443+M438*M443+N438*N443+O438*O443+P438*P443+Q438*Q443</f>
        <v>0</v>
      </c>
    </row>
    <row r="444" spans="1:18" s="4" customFormat="1" ht="15.75" thickBot="1" x14ac:dyDescent="0.3">
      <c r="A444" s="88"/>
      <c r="B444" s="89"/>
      <c r="C444" s="34"/>
      <c r="D444" s="35"/>
      <c r="E444" s="35"/>
      <c r="F444" s="35"/>
      <c r="G444" s="35"/>
      <c r="H444" s="35"/>
      <c r="I444" s="35"/>
      <c r="J444" s="35"/>
      <c r="K444" s="35"/>
      <c r="L444" s="90"/>
      <c r="M444" s="90"/>
      <c r="N444" s="90"/>
      <c r="O444" s="91" t="s">
        <v>32</v>
      </c>
      <c r="P444" s="92"/>
      <c r="Q444" s="39"/>
      <c r="R444" s="67">
        <f>SUM(R439:R443)</f>
        <v>0</v>
      </c>
    </row>
    <row r="445" spans="1:18" s="4" customFormat="1" ht="15.75" thickBot="1" x14ac:dyDescent="0.3">
      <c r="A445" s="40" t="s">
        <v>33</v>
      </c>
      <c r="B445" s="40"/>
      <c r="C445" s="40"/>
      <c r="D445" s="41">
        <f t="shared" ref="D445:Q445" si="57">SUM(D439:D443)</f>
        <v>0</v>
      </c>
      <c r="E445" s="41">
        <f t="shared" si="57"/>
        <v>0</v>
      </c>
      <c r="F445" s="41">
        <f t="shared" si="57"/>
        <v>0</v>
      </c>
      <c r="G445" s="41">
        <f t="shared" si="57"/>
        <v>0</v>
      </c>
      <c r="H445" s="41">
        <f t="shared" si="57"/>
        <v>0</v>
      </c>
      <c r="I445" s="41">
        <f t="shared" si="57"/>
        <v>0</v>
      </c>
      <c r="J445" s="41">
        <f t="shared" si="57"/>
        <v>0</v>
      </c>
      <c r="K445" s="41">
        <f t="shared" si="57"/>
        <v>0</v>
      </c>
      <c r="L445" s="41">
        <f t="shared" si="57"/>
        <v>0</v>
      </c>
      <c r="M445" s="41">
        <f t="shared" si="57"/>
        <v>0</v>
      </c>
      <c r="N445" s="41">
        <f t="shared" si="57"/>
        <v>0</v>
      </c>
      <c r="O445" s="41">
        <f t="shared" si="57"/>
        <v>0</v>
      </c>
      <c r="P445" s="41">
        <f t="shared" si="57"/>
        <v>0</v>
      </c>
      <c r="Q445" s="41">
        <f t="shared" si="57"/>
        <v>0</v>
      </c>
      <c r="R445" s="69">
        <f>SUM(D445:E445:F445:G445:J445:K445:L445:M445:N445:O445:P445:Q445)</f>
        <v>0</v>
      </c>
    </row>
    <row r="446" spans="1:18" s="4" customFormat="1" ht="15.75" thickBot="1" x14ac:dyDescent="0.3">
      <c r="A446" s="43" t="s">
        <v>34</v>
      </c>
      <c r="B446" s="43"/>
      <c r="C446" s="43"/>
      <c r="D446" s="44">
        <f t="shared" ref="D446:Q446" si="58">D438*D445</f>
        <v>0</v>
      </c>
      <c r="E446" s="44">
        <f t="shared" si="58"/>
        <v>0</v>
      </c>
      <c r="F446" s="44">
        <f t="shared" si="58"/>
        <v>0</v>
      </c>
      <c r="G446" s="44">
        <f t="shared" si="58"/>
        <v>0</v>
      </c>
      <c r="H446" s="44">
        <f t="shared" si="58"/>
        <v>0</v>
      </c>
      <c r="I446" s="44">
        <f t="shared" si="58"/>
        <v>0</v>
      </c>
      <c r="J446" s="44">
        <f t="shared" si="58"/>
        <v>0</v>
      </c>
      <c r="K446" s="44">
        <f t="shared" si="58"/>
        <v>0</v>
      </c>
      <c r="L446" s="44">
        <f t="shared" si="58"/>
        <v>0</v>
      </c>
      <c r="M446" s="44">
        <f t="shared" si="58"/>
        <v>0</v>
      </c>
      <c r="N446" s="44">
        <f t="shared" si="58"/>
        <v>0</v>
      </c>
      <c r="O446" s="44">
        <f t="shared" si="58"/>
        <v>0</v>
      </c>
      <c r="P446" s="44">
        <f t="shared" si="58"/>
        <v>0</v>
      </c>
      <c r="Q446" s="44">
        <f t="shared" si="58"/>
        <v>0</v>
      </c>
      <c r="R446" s="45">
        <f>SUM(D446:Q446)</f>
        <v>0</v>
      </c>
    </row>
    <row r="449" spans="1:18" ht="15.75" thickBot="1" x14ac:dyDescent="0.3">
      <c r="A449" s="1" t="s">
        <v>114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3"/>
    </row>
    <row r="450" spans="1:18" ht="15.75" thickBot="1" x14ac:dyDescent="0.3">
      <c r="A450" s="5" t="s">
        <v>1</v>
      </c>
      <c r="B450" s="5" t="s">
        <v>2</v>
      </c>
      <c r="C450" s="6" t="s">
        <v>3</v>
      </c>
      <c r="D450" s="46" t="s">
        <v>36</v>
      </c>
      <c r="E450" s="8" t="s">
        <v>5</v>
      </c>
      <c r="F450" s="8" t="s">
        <v>37</v>
      </c>
      <c r="G450" s="8" t="s">
        <v>7</v>
      </c>
      <c r="H450" s="8" t="s">
        <v>45</v>
      </c>
      <c r="I450" s="148" t="s">
        <v>47</v>
      </c>
      <c r="J450" s="8" t="s">
        <v>89</v>
      </c>
      <c r="K450" s="10" t="s">
        <v>38</v>
      </c>
      <c r="L450" s="10" t="s">
        <v>39</v>
      </c>
      <c r="M450" s="10" t="s">
        <v>13</v>
      </c>
      <c r="N450" s="11" t="s">
        <v>14</v>
      </c>
      <c r="O450" s="11" t="s">
        <v>48</v>
      </c>
      <c r="P450" s="11" t="s">
        <v>16</v>
      </c>
      <c r="Q450" s="11" t="s">
        <v>49</v>
      </c>
      <c r="R450" s="12" t="s">
        <v>17</v>
      </c>
    </row>
    <row r="451" spans="1:18" ht="15.75" thickBot="1" x14ac:dyDescent="0.3">
      <c r="A451" s="13"/>
      <c r="B451" s="13"/>
      <c r="C451" s="70"/>
      <c r="D451" s="48">
        <v>24.5</v>
      </c>
      <c r="E451" s="71">
        <v>0</v>
      </c>
      <c r="F451" s="18">
        <v>24.5</v>
      </c>
      <c r="G451" s="71">
        <v>0</v>
      </c>
      <c r="H451" s="71">
        <v>24.5</v>
      </c>
      <c r="I451" s="71">
        <v>24.5</v>
      </c>
      <c r="J451" s="71">
        <v>26.5</v>
      </c>
      <c r="K451" s="18">
        <v>24.5</v>
      </c>
      <c r="L451" s="18">
        <v>20</v>
      </c>
      <c r="M451" s="18">
        <v>19.5</v>
      </c>
      <c r="N451" s="18">
        <v>26.5</v>
      </c>
      <c r="O451" s="19">
        <v>24</v>
      </c>
      <c r="P451" s="19">
        <v>0</v>
      </c>
      <c r="Q451" s="19">
        <v>24.5</v>
      </c>
      <c r="R451" s="20"/>
    </row>
    <row r="452" spans="1:18" ht="15.75" thickBot="1" x14ac:dyDescent="0.3">
      <c r="A452" s="27"/>
      <c r="B452" s="74"/>
      <c r="C452" s="75"/>
      <c r="D452" s="52"/>
      <c r="E452" s="76"/>
      <c r="F452" s="52"/>
      <c r="G452" s="76"/>
      <c r="H452" s="77"/>
      <c r="I452" s="77"/>
      <c r="J452" s="52"/>
      <c r="K452" s="52"/>
      <c r="L452" s="52"/>
      <c r="M452" s="52"/>
      <c r="N452" s="52"/>
      <c r="O452" s="52"/>
      <c r="P452" s="52"/>
      <c r="Q452" s="52"/>
      <c r="R452" s="79">
        <f>D451*D452+E449*E452+F451*F452+G449*G452+J451*J452+K451*K452+L451*L452+M451*M452+N451*N452+O451*O452+P449*P452+Q451*Q452+H451*H452+I451*I452</f>
        <v>0</v>
      </c>
    </row>
    <row r="453" spans="1:18" ht="15.75" thickBot="1" x14ac:dyDescent="0.3">
      <c r="A453" s="27"/>
      <c r="B453" s="169"/>
      <c r="C453" s="80"/>
      <c r="D453" s="52"/>
      <c r="E453" s="76"/>
      <c r="F453" s="52"/>
      <c r="G453" s="76"/>
      <c r="H453" s="77"/>
      <c r="I453" s="77"/>
      <c r="J453" s="52"/>
      <c r="K453" s="52"/>
      <c r="L453" s="52"/>
      <c r="M453" s="52"/>
      <c r="N453" s="52"/>
      <c r="O453" s="52"/>
      <c r="P453" s="52"/>
      <c r="Q453" s="52"/>
      <c r="R453" s="176">
        <f>D451*D453+N451*N453</f>
        <v>0</v>
      </c>
    </row>
    <row r="454" spans="1:18" ht="15.75" thickBot="1" x14ac:dyDescent="0.3">
      <c r="A454" s="27"/>
      <c r="B454" s="169"/>
      <c r="C454" s="80"/>
      <c r="D454" s="52"/>
      <c r="E454" s="76"/>
      <c r="F454" s="52"/>
      <c r="G454" s="76"/>
      <c r="H454" s="77"/>
      <c r="I454" s="77"/>
      <c r="J454" s="52"/>
      <c r="K454" s="52"/>
      <c r="L454" s="52"/>
      <c r="M454" s="52"/>
      <c r="N454" s="52"/>
      <c r="O454" s="52"/>
      <c r="P454" s="52"/>
      <c r="Q454" s="52"/>
      <c r="R454" s="176">
        <f>D451*D454+N451*N454</f>
        <v>0</v>
      </c>
    </row>
    <row r="455" spans="1:18" ht="15.75" thickBot="1" x14ac:dyDescent="0.3">
      <c r="A455" s="27"/>
      <c r="B455" s="22"/>
      <c r="C455" s="80"/>
      <c r="D455" s="52"/>
      <c r="E455" s="76"/>
      <c r="F455" s="52"/>
      <c r="G455" s="76"/>
      <c r="H455" s="77"/>
      <c r="I455" s="77"/>
      <c r="J455" s="52"/>
      <c r="K455" s="52"/>
      <c r="L455" s="52"/>
      <c r="M455" s="52"/>
      <c r="N455" s="52"/>
      <c r="O455" s="52"/>
      <c r="P455" s="52"/>
      <c r="Q455" s="52"/>
      <c r="R455" s="59">
        <f>D451*D455+E451*E455+F451*F455+G451*G455+J451*J455+L451*L455+K451*K455+M451*M455+N451*N455+O451*O455+P451*P455+Q451*Q455+H451*H455+I451*I455</f>
        <v>0</v>
      </c>
    </row>
    <row r="456" spans="1:18" ht="15.75" thickBot="1" x14ac:dyDescent="0.3">
      <c r="A456" s="23"/>
      <c r="B456" s="85"/>
      <c r="C456" s="86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61"/>
      <c r="R456" s="65">
        <f>D451*D456+E451*E456+F451*F456+G451*G456+J451*J456+K451*K456+L451*L456+M451*M456+N451*N456+O451*O456+P451*P456+Q451*Q456</f>
        <v>0</v>
      </c>
    </row>
    <row r="457" spans="1:18" ht="15.75" thickBot="1" x14ac:dyDescent="0.3">
      <c r="A457" s="23"/>
      <c r="B457" s="85"/>
      <c r="C457" s="86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61"/>
      <c r="R457" s="65">
        <f>D451*D457+E452*E457+F452*F457+G452*G457+J452*J457+K452*K457+L452*L457+M452*M457+N451*N457+O452*O457+P452*P457+Q452*Q457</f>
        <v>0</v>
      </c>
    </row>
    <row r="458" spans="1:18" ht="15.75" thickBot="1" x14ac:dyDescent="0.3">
      <c r="A458" s="23"/>
      <c r="B458" s="85"/>
      <c r="C458" s="86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61"/>
      <c r="R458" s="65">
        <f>D451*D458+E453*E458+F453*F458+G453*G458+J453*J458+K453*K458+L453*L458+M453*M458+N451*N458+O453*O458+P453*P458+Q453*Q458</f>
        <v>0</v>
      </c>
    </row>
    <row r="459" spans="1:18" ht="15.75" thickBot="1" x14ac:dyDescent="0.3">
      <c r="A459" s="23"/>
      <c r="B459" s="85"/>
      <c r="C459" s="86"/>
      <c r="D459" s="52"/>
      <c r="E459" s="52"/>
      <c r="F459" s="52"/>
      <c r="G459" s="52"/>
      <c r="H459" s="52"/>
      <c r="I459" s="52"/>
      <c r="J459" s="52"/>
      <c r="K459" s="52"/>
      <c r="L459" s="87"/>
      <c r="M459" s="87"/>
      <c r="N459" s="87"/>
      <c r="O459" s="87"/>
      <c r="P459" s="87"/>
      <c r="Q459" s="61"/>
      <c r="R459" s="65">
        <f>D451*D459+E454*E459+F454*F459+G454*G459+J454*J459+K454*K459+L454*L459+M454*M459+N452*N459+O454*O459+P454*P459+Q454*Q459</f>
        <v>0</v>
      </c>
    </row>
    <row r="460" spans="1:18" ht="15.75" thickBot="1" x14ac:dyDescent="0.3">
      <c r="A460" s="88"/>
      <c r="B460" s="89"/>
      <c r="C460" s="34"/>
      <c r="D460" s="35"/>
      <c r="E460" s="35"/>
      <c r="F460" s="35"/>
      <c r="G460" s="35"/>
      <c r="H460" s="35"/>
      <c r="I460" s="35"/>
      <c r="J460" s="35"/>
      <c r="K460" s="35"/>
      <c r="L460" s="90"/>
      <c r="M460" s="90"/>
      <c r="N460" s="90"/>
      <c r="O460" s="91" t="s">
        <v>32</v>
      </c>
      <c r="P460" s="92"/>
      <c r="Q460" s="39"/>
      <c r="R460" s="67">
        <f>SUM(R452:R459)</f>
        <v>0</v>
      </c>
    </row>
    <row r="461" spans="1:18" ht="15.75" thickBot="1" x14ac:dyDescent="0.3">
      <c r="A461" s="40" t="s">
        <v>33</v>
      </c>
      <c r="B461" s="40"/>
      <c r="C461" s="40"/>
      <c r="D461" s="41">
        <f>SUM(D452:D459)</f>
        <v>0</v>
      </c>
      <c r="E461" s="41">
        <f t="shared" ref="E461:M461" si="59">SUM(E452:E456)</f>
        <v>0</v>
      </c>
      <c r="F461" s="41">
        <f t="shared" si="59"/>
        <v>0</v>
      </c>
      <c r="G461" s="41">
        <f t="shared" si="59"/>
        <v>0</v>
      </c>
      <c r="H461" s="41">
        <f t="shared" si="59"/>
        <v>0</v>
      </c>
      <c r="I461" s="41">
        <f t="shared" si="59"/>
        <v>0</v>
      </c>
      <c r="J461" s="41">
        <f t="shared" si="59"/>
        <v>0</v>
      </c>
      <c r="K461" s="41">
        <f t="shared" si="59"/>
        <v>0</v>
      </c>
      <c r="L461" s="41">
        <f t="shared" si="59"/>
        <v>0</v>
      </c>
      <c r="M461" s="41">
        <f t="shared" si="59"/>
        <v>0</v>
      </c>
      <c r="N461" s="41">
        <f>SUM(N452:N459)</f>
        <v>0</v>
      </c>
      <c r="O461" s="41">
        <f t="shared" ref="O461:Q461" si="60">SUM(O452:O456)</f>
        <v>0</v>
      </c>
      <c r="P461" s="41">
        <f t="shared" si="60"/>
        <v>0</v>
      </c>
      <c r="Q461" s="41">
        <f t="shared" si="60"/>
        <v>0</v>
      </c>
      <c r="R461" s="69">
        <f>SUM(D461:E461:F461:G461:J461:K461:L461:M461:N461:O461:P461:Q461)</f>
        <v>0</v>
      </c>
    </row>
    <row r="462" spans="1:18" ht="15.75" thickBot="1" x14ac:dyDescent="0.3">
      <c r="A462" s="43" t="s">
        <v>34</v>
      </c>
      <c r="B462" s="43"/>
      <c r="C462" s="43"/>
      <c r="D462" s="44">
        <f t="shared" ref="D462:Q462" si="61">D451*D461</f>
        <v>0</v>
      </c>
      <c r="E462" s="44">
        <f t="shared" si="61"/>
        <v>0</v>
      </c>
      <c r="F462" s="44">
        <f t="shared" si="61"/>
        <v>0</v>
      </c>
      <c r="G462" s="44">
        <f t="shared" si="61"/>
        <v>0</v>
      </c>
      <c r="H462" s="44">
        <f t="shared" si="61"/>
        <v>0</v>
      </c>
      <c r="I462" s="44">
        <f t="shared" si="61"/>
        <v>0</v>
      </c>
      <c r="J462" s="44">
        <f t="shared" si="61"/>
        <v>0</v>
      </c>
      <c r="K462" s="44">
        <f t="shared" si="61"/>
        <v>0</v>
      </c>
      <c r="L462" s="44">
        <f t="shared" si="61"/>
        <v>0</v>
      </c>
      <c r="M462" s="44">
        <f t="shared" si="61"/>
        <v>0</v>
      </c>
      <c r="N462" s="44">
        <f t="shared" si="61"/>
        <v>0</v>
      </c>
      <c r="O462" s="44">
        <f t="shared" si="61"/>
        <v>0</v>
      </c>
      <c r="P462" s="44">
        <f t="shared" si="61"/>
        <v>0</v>
      </c>
      <c r="Q462" s="44">
        <f t="shared" si="61"/>
        <v>0</v>
      </c>
      <c r="R462" s="45">
        <f>SUM(D462:N462)</f>
        <v>0</v>
      </c>
    </row>
  </sheetData>
  <mergeCells count="56">
    <mergeCell ref="A449:R449"/>
    <mergeCell ref="R450:R451"/>
    <mergeCell ref="A404:R404"/>
    <mergeCell ref="R405:R406"/>
    <mergeCell ref="A419:R419"/>
    <mergeCell ref="R420:R421"/>
    <mergeCell ref="A436:R436"/>
    <mergeCell ref="R437:R438"/>
    <mergeCell ref="A350:R350"/>
    <mergeCell ref="R351:R352"/>
    <mergeCell ref="A368:R368"/>
    <mergeCell ref="R369:R370"/>
    <mergeCell ref="A386:R386"/>
    <mergeCell ref="R387:R388"/>
    <mergeCell ref="A296:R296"/>
    <mergeCell ref="R297:R298"/>
    <mergeCell ref="A314:R314"/>
    <mergeCell ref="R315:R316"/>
    <mergeCell ref="A332:R332"/>
    <mergeCell ref="R333:R334"/>
    <mergeCell ref="A248:R248"/>
    <mergeCell ref="R249:R250"/>
    <mergeCell ref="A263:R263"/>
    <mergeCell ref="R264:R265"/>
    <mergeCell ref="A278:R278"/>
    <mergeCell ref="R279:R280"/>
    <mergeCell ref="A203:R203"/>
    <mergeCell ref="R204:R205"/>
    <mergeCell ref="A218:R218"/>
    <mergeCell ref="R219:R220"/>
    <mergeCell ref="A233:R233"/>
    <mergeCell ref="R234:R235"/>
    <mergeCell ref="A156:R156"/>
    <mergeCell ref="R157:R158"/>
    <mergeCell ref="A173:R173"/>
    <mergeCell ref="R174:R175"/>
    <mergeCell ref="A188:R188"/>
    <mergeCell ref="R189:R190"/>
    <mergeCell ref="A111:R111"/>
    <mergeCell ref="R112:R113"/>
    <mergeCell ref="A125:R125"/>
    <mergeCell ref="R126:R127"/>
    <mergeCell ref="A139:R139"/>
    <mergeCell ref="R140:R141"/>
    <mergeCell ref="A62:R62"/>
    <mergeCell ref="R63:R64"/>
    <mergeCell ref="A78:R78"/>
    <mergeCell ref="R79:R80"/>
    <mergeCell ref="A94:R94"/>
    <mergeCell ref="R95:R96"/>
    <mergeCell ref="A2:R2"/>
    <mergeCell ref="R3:R4"/>
    <mergeCell ref="A30:R30"/>
    <mergeCell ref="R31:R32"/>
    <mergeCell ref="A45:R45"/>
    <mergeCell ref="R46:R4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trejo</dc:creator>
  <cp:lastModifiedBy>laura trejo</cp:lastModifiedBy>
  <dcterms:created xsi:type="dcterms:W3CDTF">2026-09-08T21:03:28Z</dcterms:created>
  <dcterms:modified xsi:type="dcterms:W3CDTF">2026-09-08T21:04:25Z</dcterms:modified>
</cp:coreProperties>
</file>