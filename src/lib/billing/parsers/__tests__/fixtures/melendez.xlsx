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xiliar\Desktop\"/>
    </mc:Choice>
  </mc:AlternateContent>
  <xr:revisionPtr revIDLastSave="0" documentId="8_{A571AFB1-54DC-4D2B-AF0B-A73428FD50CD}" xr6:coauthVersionLast="47" xr6:coauthVersionMax="47" xr10:uidLastSave="{00000000-0000-0000-0000-000000000000}"/>
  <bookViews>
    <workbookView xWindow="-120" yWindow="-120" windowWidth="29040" windowHeight="15720" xr2:uid="{1F067BB7-278D-41B0-A87C-673122F0E8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10" i="1" l="1"/>
  <c r="N111" i="1" s="1"/>
  <c r="M110" i="1"/>
  <c r="M111" i="1" s="1"/>
  <c r="L110" i="1"/>
  <c r="L111" i="1" s="1"/>
  <c r="K110" i="1"/>
  <c r="K111" i="1" s="1"/>
  <c r="J110" i="1"/>
  <c r="J111" i="1" s="1"/>
  <c r="I110" i="1"/>
  <c r="I111" i="1" s="1"/>
  <c r="H110" i="1"/>
  <c r="H111" i="1" s="1"/>
  <c r="G110" i="1"/>
  <c r="G111" i="1" s="1"/>
  <c r="F110" i="1"/>
  <c r="F111" i="1" s="1"/>
  <c r="E110" i="1"/>
  <c r="E111" i="1" s="1"/>
  <c r="D110" i="1"/>
  <c r="D111" i="1" s="1"/>
  <c r="C110" i="1"/>
  <c r="O108" i="1"/>
  <c r="O107" i="1"/>
  <c r="O106" i="1"/>
  <c r="O105" i="1"/>
  <c r="O104" i="1"/>
  <c r="O103" i="1"/>
  <c r="O102" i="1"/>
  <c r="O109" i="1" s="1"/>
  <c r="N96" i="1"/>
  <c r="N97" i="1" s="1"/>
  <c r="M96" i="1"/>
  <c r="M97" i="1" s="1"/>
  <c r="L96" i="1"/>
  <c r="L97" i="1" s="1"/>
  <c r="K96" i="1"/>
  <c r="K97" i="1" s="1"/>
  <c r="J96" i="1"/>
  <c r="J97" i="1" s="1"/>
  <c r="I96" i="1"/>
  <c r="I97" i="1" s="1"/>
  <c r="H96" i="1"/>
  <c r="H97" i="1" s="1"/>
  <c r="G96" i="1"/>
  <c r="G97" i="1" s="1"/>
  <c r="F96" i="1"/>
  <c r="F97" i="1" s="1"/>
  <c r="E96" i="1"/>
  <c r="E97" i="1" s="1"/>
  <c r="D96" i="1"/>
  <c r="D97" i="1" s="1"/>
  <c r="C96" i="1"/>
  <c r="O94" i="1"/>
  <c r="O93" i="1"/>
  <c r="O92" i="1"/>
  <c r="O91" i="1"/>
  <c r="O90" i="1"/>
  <c r="O89" i="1"/>
  <c r="O88" i="1"/>
  <c r="O95" i="1" s="1"/>
  <c r="N82" i="1"/>
  <c r="N83" i="1" s="1"/>
  <c r="M82" i="1"/>
  <c r="M83" i="1" s="1"/>
  <c r="L82" i="1"/>
  <c r="L83" i="1" s="1"/>
  <c r="K82" i="1"/>
  <c r="K83" i="1" s="1"/>
  <c r="J82" i="1"/>
  <c r="J83" i="1" s="1"/>
  <c r="I82" i="1"/>
  <c r="I83" i="1" s="1"/>
  <c r="H82" i="1"/>
  <c r="H83" i="1" s="1"/>
  <c r="G82" i="1"/>
  <c r="G83" i="1" s="1"/>
  <c r="F82" i="1"/>
  <c r="F83" i="1" s="1"/>
  <c r="E82" i="1"/>
  <c r="E83" i="1" s="1"/>
  <c r="D82" i="1"/>
  <c r="D83" i="1" s="1"/>
  <c r="C82" i="1"/>
  <c r="O80" i="1"/>
  <c r="O79" i="1"/>
  <c r="O78" i="1"/>
  <c r="O77" i="1"/>
  <c r="O76" i="1"/>
  <c r="O75" i="1"/>
  <c r="O74" i="1"/>
  <c r="O81" i="1" s="1"/>
  <c r="N68" i="1"/>
  <c r="N69" i="1" s="1"/>
  <c r="M68" i="1"/>
  <c r="M69" i="1" s="1"/>
  <c r="L68" i="1"/>
  <c r="L69" i="1" s="1"/>
  <c r="K68" i="1"/>
  <c r="K69" i="1" s="1"/>
  <c r="J68" i="1"/>
  <c r="J69" i="1" s="1"/>
  <c r="I68" i="1"/>
  <c r="I69" i="1" s="1"/>
  <c r="H68" i="1"/>
  <c r="H69" i="1" s="1"/>
  <c r="G68" i="1"/>
  <c r="G69" i="1" s="1"/>
  <c r="F68" i="1"/>
  <c r="F69" i="1" s="1"/>
  <c r="E68" i="1"/>
  <c r="E69" i="1" s="1"/>
  <c r="D68" i="1"/>
  <c r="D69" i="1" s="1"/>
  <c r="C68" i="1"/>
  <c r="O66" i="1"/>
  <c r="O65" i="1"/>
  <c r="O64" i="1"/>
  <c r="O63" i="1"/>
  <c r="O62" i="1"/>
  <c r="O61" i="1"/>
  <c r="O60" i="1"/>
  <c r="O67" i="1" s="1"/>
  <c r="N54" i="1"/>
  <c r="N55" i="1" s="1"/>
  <c r="M54" i="1"/>
  <c r="M55" i="1" s="1"/>
  <c r="L54" i="1"/>
  <c r="L55" i="1" s="1"/>
  <c r="K54" i="1"/>
  <c r="K55" i="1" s="1"/>
  <c r="J54" i="1"/>
  <c r="J55" i="1" s="1"/>
  <c r="I54" i="1"/>
  <c r="I55" i="1" s="1"/>
  <c r="H54" i="1"/>
  <c r="H55" i="1" s="1"/>
  <c r="G54" i="1"/>
  <c r="G55" i="1" s="1"/>
  <c r="F54" i="1"/>
  <c r="F55" i="1" s="1"/>
  <c r="E54" i="1"/>
  <c r="E55" i="1" s="1"/>
  <c r="D54" i="1"/>
  <c r="D55" i="1" s="1"/>
  <c r="C54" i="1"/>
  <c r="O52" i="1"/>
  <c r="O51" i="1"/>
  <c r="O50" i="1"/>
  <c r="O49" i="1"/>
  <c r="O48" i="1"/>
  <c r="O47" i="1"/>
  <c r="O46" i="1"/>
  <c r="O53" i="1" s="1"/>
  <c r="N40" i="1"/>
  <c r="N41" i="1" s="1"/>
  <c r="M40" i="1"/>
  <c r="M41" i="1" s="1"/>
  <c r="L40" i="1"/>
  <c r="L41" i="1" s="1"/>
  <c r="K40" i="1"/>
  <c r="K41" i="1" s="1"/>
  <c r="J40" i="1"/>
  <c r="J41" i="1" s="1"/>
  <c r="I40" i="1"/>
  <c r="I41" i="1" s="1"/>
  <c r="H40" i="1"/>
  <c r="H41" i="1" s="1"/>
  <c r="G40" i="1"/>
  <c r="G41" i="1" s="1"/>
  <c r="F40" i="1"/>
  <c r="F41" i="1" s="1"/>
  <c r="E40" i="1"/>
  <c r="E41" i="1" s="1"/>
  <c r="D40" i="1"/>
  <c r="D41" i="1" s="1"/>
  <c r="C40" i="1"/>
  <c r="O38" i="1"/>
  <c r="O37" i="1"/>
  <c r="O36" i="1"/>
  <c r="O35" i="1"/>
  <c r="O34" i="1"/>
  <c r="O33" i="1"/>
  <c r="O32" i="1"/>
  <c r="O39" i="1" s="1"/>
  <c r="N26" i="1"/>
  <c r="N27" i="1" s="1"/>
  <c r="M26" i="1"/>
  <c r="M27" i="1" s="1"/>
  <c r="L26" i="1"/>
  <c r="L27" i="1" s="1"/>
  <c r="K26" i="1"/>
  <c r="K27" i="1" s="1"/>
  <c r="J26" i="1"/>
  <c r="J27" i="1" s="1"/>
  <c r="I26" i="1"/>
  <c r="I27" i="1" s="1"/>
  <c r="H26" i="1"/>
  <c r="H27" i="1" s="1"/>
  <c r="G26" i="1"/>
  <c r="G27" i="1" s="1"/>
  <c r="F26" i="1"/>
  <c r="F27" i="1" s="1"/>
  <c r="E26" i="1"/>
  <c r="E27" i="1" s="1"/>
  <c r="D26" i="1"/>
  <c r="D27" i="1" s="1"/>
  <c r="C26" i="1"/>
  <c r="O24" i="1"/>
  <c r="O23" i="1"/>
  <c r="O22" i="1"/>
  <c r="O21" i="1"/>
  <c r="O20" i="1"/>
  <c r="O19" i="1"/>
  <c r="O18" i="1"/>
  <c r="O25" i="1" s="1"/>
  <c r="N12" i="1"/>
  <c r="N13" i="1" s="1"/>
  <c r="M12" i="1"/>
  <c r="M13" i="1" s="1"/>
  <c r="L12" i="1"/>
  <c r="L13" i="1" s="1"/>
  <c r="K12" i="1"/>
  <c r="K13" i="1" s="1"/>
  <c r="J12" i="1"/>
  <c r="J13" i="1" s="1"/>
  <c r="I12" i="1"/>
  <c r="I13" i="1" s="1"/>
  <c r="H12" i="1"/>
  <c r="H13" i="1" s="1"/>
  <c r="G12" i="1"/>
  <c r="G13" i="1" s="1"/>
  <c r="F12" i="1"/>
  <c r="F13" i="1" s="1"/>
  <c r="E12" i="1"/>
  <c r="E13" i="1" s="1"/>
  <c r="D12" i="1"/>
  <c r="D13" i="1" s="1"/>
  <c r="C12" i="1"/>
  <c r="O10" i="1"/>
  <c r="O9" i="1"/>
  <c r="O8" i="1"/>
  <c r="O7" i="1"/>
  <c r="O6" i="1"/>
  <c r="O5" i="1"/>
  <c r="O4" i="1"/>
  <c r="O11" i="1" s="1"/>
  <c r="C111" i="1" l="1"/>
  <c r="O111" i="1" s="1"/>
  <c r="O110" i="1"/>
  <c r="C97" i="1"/>
  <c r="O97" i="1" s="1"/>
  <c r="O96" i="1"/>
  <c r="C83" i="1"/>
  <c r="O83" i="1" s="1"/>
  <c r="O82" i="1"/>
  <c r="C69" i="1"/>
  <c r="O69" i="1" s="1"/>
  <c r="O68" i="1"/>
  <c r="C55" i="1"/>
  <c r="O55" i="1" s="1"/>
  <c r="O54" i="1"/>
  <c r="C41" i="1"/>
  <c r="O41" i="1" s="1"/>
  <c r="O40" i="1"/>
  <c r="C27" i="1"/>
  <c r="O27" i="1" s="1"/>
  <c r="O26" i="1"/>
  <c r="C13" i="1"/>
  <c r="O13" i="1" s="1"/>
  <c r="P3" i="1" s="1"/>
  <c r="O12" i="1"/>
</calcChain>
</file>

<file path=xl/sharedStrings.xml><?xml version="1.0" encoding="utf-8"?>
<sst xmlns="http://schemas.openxmlformats.org/spreadsheetml/2006/main" count="158" uniqueCount="36">
  <si>
    <t>MELENDEZ  HACIENDA / ROMULO</t>
  </si>
  <si>
    <t xml:space="preserve">TOTAL </t>
  </si>
  <si>
    <t>FECHA</t>
  </si>
  <si>
    <t>FOLIO</t>
  </si>
  <si>
    <t>ESTRELLA 1KG</t>
  </si>
  <si>
    <t>ESTRELLA 1/2</t>
  </si>
  <si>
    <t>RANCHO 1KG</t>
  </si>
  <si>
    <t>GELITA 1KG</t>
  </si>
  <si>
    <t>TACO 1KG</t>
  </si>
  <si>
    <t xml:space="preserve">GELITA </t>
  </si>
  <si>
    <t>FRIJOL</t>
  </si>
  <si>
    <t>ROJA</t>
  </si>
  <si>
    <t>SN MARCA</t>
  </si>
  <si>
    <t>SALSA 500</t>
  </si>
  <si>
    <t>SALSA .250</t>
  </si>
  <si>
    <t>GELITA ESD</t>
  </si>
  <si>
    <t>TOTAL</t>
  </si>
  <si>
    <t>´0828</t>
  </si>
  <si>
    <t>FACTURA</t>
  </si>
  <si>
    <t>TORAL KILOS</t>
  </si>
  <si>
    <t>CANT EN PESOS</t>
  </si>
  <si>
    <t xml:space="preserve">MELENDEZ  CASA BLANCA </t>
  </si>
  <si>
    <t>MI ESTRELLA</t>
  </si>
  <si>
    <t xml:space="preserve">MELENDEZ  HUINALA </t>
  </si>
  <si>
    <t>RANCHO 1/2</t>
  </si>
  <si>
    <t>g</t>
  </si>
  <si>
    <t>MELENDEZ  CONCORDIA</t>
  </si>
  <si>
    <t xml:space="preserve">MELENDEZ  RINCON </t>
  </si>
  <si>
    <t>´0081</t>
  </si>
  <si>
    <t>MELENDEZ  CIENCIA</t>
  </si>
  <si>
    <t>ESTRELLA .800GMS</t>
  </si>
  <si>
    <t>´0082</t>
  </si>
  <si>
    <t>MELENDEZ  ANZURES</t>
  </si>
  <si>
    <t>MELENDEZ  UROS</t>
  </si>
  <si>
    <t>RANCHO</t>
  </si>
  <si>
    <t>´0774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</si>
</sst>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[$$]* #,##0.00_-;\-[$$]* #,##0.00_-;_-[$$]* &quot;-&quot;??_-;_-@_-" x16r2:formatCode16="_-[$$-sn-Latn-ZW]* #,##0.00_-;\-[$$-sn-Latn-ZW]* #,##0.00_-;_-[$$-sn-Latn-ZW]* &quot;-&quot;??_-;_-@_-"/>
    <numFmt numFmtId="165" formatCode="_-[$$-476]* #,##0.00_ ;_-[$$-476]* \-#,##0.00\ ;_-[$$-476]* &quot;-&quot;??_ ;_-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rial Black"/>
      <family val="2"/>
    </font>
    <font>
      <b/>
      <sz val="11"/>
      <color theme="1"/>
      <name val="Arial Black"/>
      <family val="2"/>
    </font>
    <font>
      <b/>
      <sz val="8"/>
      <color rgb="FFFF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8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0" xfId="0" applyFont="1" applyFill="1"/>
    <xf numFmtId="0" fontId="4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center"/>
    </xf>
    <xf numFmtId="164" fontId="3" fillId="3" borderId="0" xfId="0" applyNumberFormat="1" applyFont="1" applyFill="1"/>
    <xf numFmtId="0" fontId="5" fillId="4" borderId="8" xfId="0" applyFont="1" applyFill="1" applyBorder="1" applyAlignment="1">
      <alignment horizontal="center" vertical="center"/>
    </xf>
    <xf numFmtId="44" fontId="5" fillId="4" borderId="9" xfId="0" applyNumberFormat="1" applyFont="1" applyFill="1" applyBorder="1" applyAlignment="1">
      <alignment horizontal="center"/>
    </xf>
    <xf numFmtId="44" fontId="4" fillId="4" borderId="7" xfId="0" applyNumberFormat="1" applyFont="1" applyFill="1" applyBorder="1" applyAlignment="1">
      <alignment horizontal="center"/>
    </xf>
    <xf numFmtId="44" fontId="6" fillId="4" borderId="7" xfId="0" applyNumberFormat="1" applyFont="1" applyFill="1" applyBorder="1" applyAlignment="1">
      <alignment horizontal="center"/>
    </xf>
    <xf numFmtId="44" fontId="5" fillId="4" borderId="7" xfId="0" applyNumberFormat="1" applyFont="1" applyFill="1" applyBorder="1" applyAlignment="1">
      <alignment horizontal="center"/>
    </xf>
    <xf numFmtId="44" fontId="4" fillId="4" borderId="6" xfId="0" applyNumberFormat="1" applyFont="1" applyFill="1" applyBorder="1" applyAlignment="1">
      <alignment horizontal="center"/>
    </xf>
    <xf numFmtId="44" fontId="5" fillId="4" borderId="6" xfId="0" applyNumberFormat="1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44" fontId="5" fillId="5" borderId="0" xfId="0" applyNumberFormat="1" applyFont="1" applyFill="1" applyAlignment="1">
      <alignment horizontal="center"/>
    </xf>
    <xf numFmtId="14" fontId="7" fillId="6" borderId="4" xfId="0" applyNumberFormat="1" applyFont="1" applyFill="1" applyBorder="1"/>
    <xf numFmtId="0" fontId="7" fillId="6" borderId="10" xfId="0" applyFont="1" applyFill="1" applyBorder="1" applyAlignment="1">
      <alignment horizontal="right"/>
    </xf>
    <xf numFmtId="0" fontId="7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11" xfId="0" applyFont="1" applyFill="1" applyBorder="1"/>
    <xf numFmtId="165" fontId="9" fillId="8" borderId="4" xfId="1" applyNumberFormat="1" applyFont="1" applyFill="1" applyBorder="1" applyAlignment="1">
      <alignment horizontal="center"/>
    </xf>
    <xf numFmtId="164" fontId="0" fillId="0" borderId="0" xfId="0" applyNumberFormat="1"/>
    <xf numFmtId="14" fontId="7" fillId="6" borderId="10" xfId="0" applyNumberFormat="1" applyFont="1" applyFill="1" applyBorder="1"/>
    <xf numFmtId="165" fontId="9" fillId="8" borderId="10" xfId="1" applyNumberFormat="1" applyFont="1" applyFill="1" applyBorder="1" applyAlignment="1">
      <alignment horizontal="center"/>
    </xf>
    <xf numFmtId="0" fontId="7" fillId="7" borderId="11" xfId="0" applyFont="1" applyFill="1" applyBorder="1"/>
    <xf numFmtId="0" fontId="7" fillId="6" borderId="10" xfId="0" applyFont="1" applyFill="1" applyBorder="1"/>
    <xf numFmtId="0" fontId="7" fillId="7" borderId="0" xfId="0" applyFont="1" applyFill="1"/>
    <xf numFmtId="0" fontId="7" fillId="2" borderId="4" xfId="0" applyFont="1" applyFill="1" applyBorder="1"/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165" fontId="10" fillId="9" borderId="6" xfId="0" applyNumberFormat="1" applyFont="1" applyFill="1" applyBorder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7" fillId="10" borderId="15" xfId="0" applyFont="1" applyFill="1" applyBorder="1" applyAlignment="1">
      <alignment horizontal="center"/>
    </xf>
    <xf numFmtId="0" fontId="7" fillId="10" borderId="16" xfId="0" applyFont="1" applyFill="1" applyBorder="1" applyAlignment="1">
      <alignment horizontal="center"/>
    </xf>
    <xf numFmtId="0" fontId="7" fillId="10" borderId="17" xfId="0" applyFont="1" applyFill="1" applyBorder="1" applyAlignment="1">
      <alignment horizontal="center"/>
    </xf>
    <xf numFmtId="0" fontId="7" fillId="10" borderId="18" xfId="0" applyFont="1" applyFill="1" applyBorder="1" applyAlignment="1">
      <alignment horizontal="center"/>
    </xf>
    <xf numFmtId="0" fontId="7" fillId="10" borderId="19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44" fontId="7" fillId="10" borderId="20" xfId="0" applyNumberFormat="1" applyFont="1" applyFill="1" applyBorder="1"/>
    <xf numFmtId="44" fontId="7" fillId="10" borderId="21" xfId="0" applyNumberFormat="1" applyFont="1" applyFill="1" applyBorder="1"/>
    <xf numFmtId="44" fontId="7" fillId="10" borderId="22" xfId="0" applyNumberFormat="1" applyFont="1" applyFill="1" applyBorder="1"/>
    <xf numFmtId="44" fontId="4" fillId="9" borderId="23" xfId="0" applyNumberFormat="1" applyFont="1" applyFill="1" applyBorder="1"/>
    <xf numFmtId="0" fontId="7" fillId="6" borderId="4" xfId="0" applyFont="1" applyFill="1" applyBorder="1"/>
    <xf numFmtId="0" fontId="8" fillId="7" borderId="0" xfId="0" applyFont="1" applyFill="1"/>
    <xf numFmtId="16" fontId="7" fillId="6" borderId="10" xfId="0" applyNumberFormat="1" applyFont="1" applyFill="1" applyBorder="1"/>
    <xf numFmtId="0" fontId="11" fillId="2" borderId="3" xfId="0" applyFont="1" applyFill="1" applyBorder="1" applyAlignment="1">
      <alignment horizontal="center"/>
    </xf>
    <xf numFmtId="44" fontId="4" fillId="4" borderId="9" xfId="0" applyNumberFormat="1" applyFont="1" applyFill="1" applyBorder="1" applyAlignment="1">
      <alignment horizontal="center"/>
    </xf>
    <xf numFmtId="165" fontId="10" fillId="9" borderId="7" xfId="0" applyNumberFormat="1" applyFont="1" applyFill="1" applyBorder="1"/>
    <xf numFmtId="44" fontId="7" fillId="8" borderId="11" xfId="0" applyNumberFormat="1" applyFont="1" applyFill="1" applyBorder="1"/>
    <xf numFmtId="0" fontId="5" fillId="4" borderId="24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59DC-2A19-41CC-9346-4BA430451550}">
  <dimension ref="A1:Q112"/>
  <sheetViews>
    <sheetView tabSelected="1" workbookViewId="0">
      <selection activeCell="Q6" sqref="Q6"/>
    </sheetView>
  </sheetViews>
  <sheetFormatPr baseColWidth="10" defaultRowHeight="15" x14ac:dyDescent="0.25"/>
  <cols>
    <col min="16" max="16" width="26" customWidth="1"/>
  </cols>
  <sheetData>
    <row r="1" spans="1:16" ht="20.25" thickTop="1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 t="s">
        <v>1</v>
      </c>
    </row>
    <row r="2" spans="1:16" ht="20.25" thickTop="1" thickBot="1" x14ac:dyDescent="0.45">
      <c r="A2" s="5" t="s">
        <v>2</v>
      </c>
      <c r="B2" s="5" t="s">
        <v>3</v>
      </c>
      <c r="C2" s="6" t="s">
        <v>4</v>
      </c>
      <c r="D2" s="7" t="s">
        <v>5</v>
      </c>
      <c r="E2" s="7" t="s">
        <v>6</v>
      </c>
      <c r="F2" s="7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9" t="s">
        <v>12</v>
      </c>
      <c r="L2" s="10" t="s">
        <v>13</v>
      </c>
      <c r="M2" s="9" t="s">
        <v>14</v>
      </c>
      <c r="N2" s="9" t="s">
        <v>15</v>
      </c>
      <c r="O2" s="11" t="s">
        <v>16</v>
      </c>
      <c r="P2" s="12"/>
    </row>
    <row r="3" spans="1:16" ht="15.75" thickBot="1" x14ac:dyDescent="0.3">
      <c r="A3" s="13"/>
      <c r="B3" s="13"/>
      <c r="C3" s="14">
        <v>24.5</v>
      </c>
      <c r="D3" s="15">
        <v>27</v>
      </c>
      <c r="E3" s="15">
        <v>27</v>
      </c>
      <c r="F3" s="16">
        <v>24.5</v>
      </c>
      <c r="G3" s="15">
        <v>27</v>
      </c>
      <c r="H3" s="15">
        <v>27</v>
      </c>
      <c r="I3" s="15">
        <v>22</v>
      </c>
      <c r="J3" s="15">
        <v>22</v>
      </c>
      <c r="K3" s="17">
        <v>26.5</v>
      </c>
      <c r="L3" s="18">
        <v>29</v>
      </c>
      <c r="M3" s="19">
        <v>11.5</v>
      </c>
      <c r="N3" s="18">
        <v>27</v>
      </c>
      <c r="O3" s="20"/>
      <c r="P3" s="21">
        <f>O13+O27+O41+O55+O69+O83+O97+O111</f>
        <v>16274</v>
      </c>
    </row>
    <row r="4" spans="1:16" ht="15.75" thickTop="1" x14ac:dyDescent="0.25">
      <c r="A4" s="22">
        <v>46266</v>
      </c>
      <c r="B4" s="23">
        <v>6741</v>
      </c>
      <c r="C4" s="24"/>
      <c r="D4" s="24">
        <v>42</v>
      </c>
      <c r="E4" s="24">
        <v>10</v>
      </c>
      <c r="F4" s="24"/>
      <c r="G4" s="24"/>
      <c r="H4" s="24">
        <v>18</v>
      </c>
      <c r="I4" s="24"/>
      <c r="J4" s="25"/>
      <c r="K4" s="24"/>
      <c r="L4" s="24"/>
      <c r="M4" s="24"/>
      <c r="N4" s="26"/>
      <c r="O4" s="27">
        <f>C3*C4+D3*D4+E3*E4+F3*F4+G3*G4+I3*I4+H3*H4+J3*J4+K3*K4+L3*L4+M3*M4+N3*N4</f>
        <v>1890</v>
      </c>
      <c r="P4" s="28"/>
    </row>
    <row r="5" spans="1:16" x14ac:dyDescent="0.25">
      <c r="A5" s="29">
        <v>46270</v>
      </c>
      <c r="B5" s="23" t="s">
        <v>17</v>
      </c>
      <c r="C5" s="24"/>
      <c r="D5" s="25">
        <v>42</v>
      </c>
      <c r="E5" s="24"/>
      <c r="F5" s="24"/>
      <c r="G5" s="24">
        <v>15</v>
      </c>
      <c r="H5" s="24">
        <v>10</v>
      </c>
      <c r="I5" s="24"/>
      <c r="J5" s="25"/>
      <c r="K5" s="24"/>
      <c r="L5" s="24"/>
      <c r="M5" s="24"/>
      <c r="N5" s="26"/>
      <c r="O5" s="30">
        <f>C3*C5+D3*D5+E3*E5+F3*F5+G3*G5+I3*I5+H3*H5+J3*J5+K3*K5+L3*L5+M3*M5+N3*N5</f>
        <v>1809</v>
      </c>
    </row>
    <row r="6" spans="1:16" x14ac:dyDescent="0.25">
      <c r="A6" s="29"/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6"/>
      <c r="O6" s="30">
        <f>C4*C6+D3*D6+E4*E6+F4*F6+G4*G6+I3*I6+H3*H6+J3*J6+K3*K6+L3*L6+M4*M6+N3*N6</f>
        <v>0</v>
      </c>
    </row>
    <row r="7" spans="1:16" x14ac:dyDescent="0.25">
      <c r="A7" s="29"/>
      <c r="B7" s="23"/>
      <c r="C7" s="24"/>
      <c r="D7" s="25"/>
      <c r="E7" s="24"/>
      <c r="F7" s="24"/>
      <c r="G7" s="24"/>
      <c r="H7" s="24"/>
      <c r="I7" s="24"/>
      <c r="J7" s="24"/>
      <c r="K7" s="24"/>
      <c r="L7" s="24"/>
      <c r="M7" s="24"/>
      <c r="N7" s="31"/>
      <c r="O7" s="30">
        <f>C3*C7+D3*D7+E3*E7+F3*F7+G3*G7+I3*I7+H3*H7+3*J7+K3*K7+L3*L7+M3*M7+N3*N7</f>
        <v>0</v>
      </c>
    </row>
    <row r="8" spans="1:16" x14ac:dyDescent="0.25">
      <c r="A8" s="29"/>
      <c r="B8" s="32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31"/>
      <c r="O8" s="30">
        <f>C3*C8+D3*D8+E3*E8+F3*F8+G3*G8+I3*I8+H3*H8+J3*J8+K3*K8+L3*L8+M3*M8+N3*N8</f>
        <v>0</v>
      </c>
    </row>
    <row r="9" spans="1:16" x14ac:dyDescent="0.25">
      <c r="A9" s="29"/>
      <c r="B9" s="32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31"/>
      <c r="O9" s="30">
        <f>C3*C9+D8*D9+E3*E9+F3*F9+G8*G9+I8*I9+H8*H9+J3*J9+K8*K9+L8*L9+M8*M9+N8*N9</f>
        <v>0</v>
      </c>
    </row>
    <row r="10" spans="1:16" ht="15.75" thickBot="1" x14ac:dyDescent="0.3">
      <c r="A10" s="32"/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1"/>
      <c r="O10" s="30">
        <f>C9*C10+D9*D10+E9*E10+F9*F10+G9*G10+I9*I10+H9*H10+J9*J10+K9*K10+L9*L10+M9*M10+N9*N10</f>
        <v>0</v>
      </c>
    </row>
    <row r="11" spans="1:16" ht="16.5" thickTop="1" thickBot="1" x14ac:dyDescent="0.3">
      <c r="A11" s="34" t="s">
        <v>18</v>
      </c>
      <c r="B11" s="35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7"/>
      <c r="O11" s="38">
        <f>SUM(O4:O10)</f>
        <v>3699</v>
      </c>
    </row>
    <row r="12" spans="1:16" ht="16.5" thickTop="1" thickBot="1" x14ac:dyDescent="0.3">
      <c r="A12" s="39" t="s">
        <v>19</v>
      </c>
      <c r="B12" s="40"/>
      <c r="C12" s="41">
        <f t="shared" ref="C12:N12" si="0">SUM(C4:C10)</f>
        <v>0</v>
      </c>
      <c r="D12" s="42">
        <f t="shared" si="0"/>
        <v>84</v>
      </c>
      <c r="E12" s="42">
        <f t="shared" si="0"/>
        <v>10</v>
      </c>
      <c r="F12" s="43">
        <f t="shared" si="0"/>
        <v>0</v>
      </c>
      <c r="G12" s="43">
        <f t="shared" si="0"/>
        <v>15</v>
      </c>
      <c r="H12" s="44">
        <f t="shared" si="0"/>
        <v>28</v>
      </c>
      <c r="I12" s="43">
        <f t="shared" si="0"/>
        <v>0</v>
      </c>
      <c r="J12" s="43">
        <f t="shared" si="0"/>
        <v>0</v>
      </c>
      <c r="K12" s="43">
        <f t="shared" si="0"/>
        <v>0</v>
      </c>
      <c r="L12" s="43">
        <f t="shared" si="0"/>
        <v>0</v>
      </c>
      <c r="M12" s="43">
        <f t="shared" si="0"/>
        <v>0</v>
      </c>
      <c r="N12" s="45">
        <f t="shared" si="0"/>
        <v>0</v>
      </c>
      <c r="O12" s="46">
        <f>SUM(C12:N12)</f>
        <v>137</v>
      </c>
    </row>
    <row r="13" spans="1:16" ht="16.5" thickTop="1" thickBot="1" x14ac:dyDescent="0.3">
      <c r="A13" s="39" t="s">
        <v>20</v>
      </c>
      <c r="B13" s="40"/>
      <c r="C13" s="47">
        <f t="shared" ref="C13:N13" si="1">C3*C12</f>
        <v>0</v>
      </c>
      <c r="D13" s="48">
        <f t="shared" si="1"/>
        <v>2268</v>
      </c>
      <c r="E13" s="48">
        <f t="shared" si="1"/>
        <v>270</v>
      </c>
      <c r="F13" s="48">
        <f t="shared" si="1"/>
        <v>0</v>
      </c>
      <c r="G13" s="48">
        <f t="shared" si="1"/>
        <v>405</v>
      </c>
      <c r="H13" s="48">
        <f t="shared" si="1"/>
        <v>756</v>
      </c>
      <c r="I13" s="48">
        <f t="shared" si="1"/>
        <v>0</v>
      </c>
      <c r="J13" s="48">
        <f t="shared" si="1"/>
        <v>0</v>
      </c>
      <c r="K13" s="48">
        <f t="shared" si="1"/>
        <v>0</v>
      </c>
      <c r="L13" s="48">
        <f t="shared" si="1"/>
        <v>0</v>
      </c>
      <c r="M13" s="48">
        <f t="shared" si="1"/>
        <v>0</v>
      </c>
      <c r="N13" s="49">
        <f t="shared" si="1"/>
        <v>0</v>
      </c>
      <c r="O13" s="50">
        <f>SUM(C13:N13)</f>
        <v>3699</v>
      </c>
    </row>
    <row r="14" spans="1:16" ht="16.5" thickTop="1" thickBot="1" x14ac:dyDescent="0.3"/>
    <row r="15" spans="1:16" ht="16.5" thickTop="1" thickBot="1" x14ac:dyDescent="0.3">
      <c r="A15" s="1" t="s">
        <v>21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</row>
    <row r="16" spans="1:16" ht="16.5" thickTop="1" thickBot="1" x14ac:dyDescent="0.3">
      <c r="A16" s="5" t="s">
        <v>2</v>
      </c>
      <c r="B16" s="5" t="s">
        <v>3</v>
      </c>
      <c r="C16" s="6" t="s">
        <v>4</v>
      </c>
      <c r="D16" s="7" t="s">
        <v>5</v>
      </c>
      <c r="E16" s="7" t="s">
        <v>6</v>
      </c>
      <c r="F16" s="7" t="s">
        <v>7</v>
      </c>
      <c r="G16" s="8" t="s">
        <v>8</v>
      </c>
      <c r="H16" s="8" t="s">
        <v>22</v>
      </c>
      <c r="I16" s="8" t="s">
        <v>10</v>
      </c>
      <c r="J16" s="8" t="s">
        <v>11</v>
      </c>
      <c r="K16" s="9" t="s">
        <v>12</v>
      </c>
      <c r="L16" s="10" t="s">
        <v>13</v>
      </c>
      <c r="M16" s="9" t="s">
        <v>14</v>
      </c>
      <c r="N16" s="9" t="s">
        <v>15</v>
      </c>
      <c r="O16" s="11" t="s">
        <v>16</v>
      </c>
    </row>
    <row r="17" spans="1:15" ht="15.75" thickBot="1" x14ac:dyDescent="0.3">
      <c r="A17" s="13"/>
      <c r="B17" s="13"/>
      <c r="C17" s="14">
        <v>24.5</v>
      </c>
      <c r="D17" s="15">
        <v>27</v>
      </c>
      <c r="E17" s="17">
        <v>24.5</v>
      </c>
      <c r="F17" s="16">
        <v>24.5</v>
      </c>
      <c r="G17" s="17">
        <v>27</v>
      </c>
      <c r="H17" s="17">
        <v>24.5</v>
      </c>
      <c r="I17" s="15">
        <v>22</v>
      </c>
      <c r="J17" s="17">
        <v>22</v>
      </c>
      <c r="K17" s="17">
        <v>26.5</v>
      </c>
      <c r="L17" s="18">
        <v>29</v>
      </c>
      <c r="M17" s="19">
        <v>11.5</v>
      </c>
      <c r="N17" s="19">
        <v>24.5</v>
      </c>
      <c r="O17" s="20"/>
    </row>
    <row r="18" spans="1:15" ht="15.75" thickTop="1" x14ac:dyDescent="0.25">
      <c r="A18" s="22">
        <v>46265</v>
      </c>
      <c r="B18" s="51">
        <v>1380</v>
      </c>
      <c r="C18" s="33"/>
      <c r="D18" s="33">
        <v>50</v>
      </c>
      <c r="E18" s="33"/>
      <c r="F18" s="33"/>
      <c r="G18" s="33"/>
      <c r="H18" s="33"/>
      <c r="I18" s="33"/>
      <c r="J18" s="33"/>
      <c r="K18" s="33"/>
      <c r="L18" s="33"/>
      <c r="M18" s="33"/>
      <c r="N18" s="31"/>
      <c r="O18" s="27">
        <f>C17*C18+D17*D18+E17*E18+F17*F18+G17*G18+I17*I18+H17*H18+J17*J18+K17*K18+L17*L18+M17*M18+N17*N18</f>
        <v>1350</v>
      </c>
    </row>
    <row r="19" spans="1:15" x14ac:dyDescent="0.25">
      <c r="A19" s="29">
        <v>46268</v>
      </c>
      <c r="B19" s="32">
        <v>1310</v>
      </c>
      <c r="C19" s="33"/>
      <c r="D19" s="33">
        <v>42</v>
      </c>
      <c r="E19" s="33"/>
      <c r="F19" s="33"/>
      <c r="G19" s="33"/>
      <c r="H19" s="33"/>
      <c r="I19" s="33"/>
      <c r="J19" s="33"/>
      <c r="K19" s="33"/>
      <c r="L19" s="33"/>
      <c r="M19" s="33"/>
      <c r="N19" s="31"/>
      <c r="O19" s="30">
        <f>C17*C19+D17*D19+E17*E19+F17*F19+G17*G19+I17*I19+H17*H19+J17*J19+K17*K19+L17*L19+M17*M19+N17*N19</f>
        <v>1134</v>
      </c>
    </row>
    <row r="20" spans="1:15" x14ac:dyDescent="0.25">
      <c r="A20" s="29">
        <v>46270</v>
      </c>
      <c r="B20" s="23">
        <v>1329</v>
      </c>
      <c r="C20" s="33"/>
      <c r="D20" s="33">
        <v>50</v>
      </c>
      <c r="E20" s="33"/>
      <c r="F20" s="33"/>
      <c r="G20" s="33"/>
      <c r="H20" s="33"/>
      <c r="I20" s="33"/>
      <c r="J20" s="33"/>
      <c r="K20" s="33"/>
      <c r="L20" s="33"/>
      <c r="M20" s="33"/>
      <c r="N20" s="31"/>
      <c r="O20" s="30">
        <f>C17*C20+D17*D20+E17*E20+F17*F20+G17*G20+I17*I20+H17*P116+J17*J20+K17*K20+L17*L20+M17*M20+N17*N20</f>
        <v>1350</v>
      </c>
    </row>
    <row r="21" spans="1:15" x14ac:dyDescent="0.25">
      <c r="A21" s="29"/>
      <c r="B21" s="32"/>
      <c r="C21" s="33"/>
      <c r="D21" s="52"/>
      <c r="E21" s="33"/>
      <c r="F21" s="33"/>
      <c r="G21" s="33"/>
      <c r="H21" s="33"/>
      <c r="I21" s="33"/>
      <c r="J21" s="33"/>
      <c r="K21" s="33"/>
      <c r="L21" s="33"/>
      <c r="M21" s="33"/>
      <c r="N21" s="31"/>
      <c r="O21" s="30">
        <f>C17*C21+D17*D21+E17*E21+F17*F21+G17*G21+I17*I21+H17*H21+3*J21+K17*K21+L17*L21+M17*M21+N17*N21</f>
        <v>0</v>
      </c>
    </row>
    <row r="22" spans="1:15" x14ac:dyDescent="0.25">
      <c r="A22" s="29"/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1"/>
      <c r="O22" s="30">
        <f>C17*C22+D17*D22+E17*E22+F17*F22+G17*G22+I17*I22+H17*H22+J17*J22+K17*K22+L17*L22+M17*M22+N17*N22</f>
        <v>0</v>
      </c>
    </row>
    <row r="23" spans="1:15" x14ac:dyDescent="0.25">
      <c r="A23" s="29"/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1"/>
      <c r="O23" s="30">
        <f>C17*C23+D22*D23+E17*E23+F17*F23+G22*G23+I22*I23+H22*H23+J17*J23+K22*K23+L22*L23+M22*M23+N22*N23</f>
        <v>0</v>
      </c>
    </row>
    <row r="24" spans="1:15" ht="15.75" thickBot="1" x14ac:dyDescent="0.3">
      <c r="A24" s="53"/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1"/>
      <c r="O24" s="30">
        <f>C17*C24+D23*D24+E23*E24+F23*F24+G23*G24+I23*I24+H23*H24+J23*J24+K23*K24+L23*L24+M23*M24+N23*N24</f>
        <v>0</v>
      </c>
    </row>
    <row r="25" spans="1:15" ht="16.5" thickTop="1" thickBot="1" x14ac:dyDescent="0.3">
      <c r="A25" s="34" t="s">
        <v>18</v>
      </c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7"/>
      <c r="O25" s="38">
        <f>SUM(O18:O24)</f>
        <v>3834</v>
      </c>
    </row>
    <row r="26" spans="1:15" ht="16.5" thickTop="1" thickBot="1" x14ac:dyDescent="0.3">
      <c r="A26" s="39" t="s">
        <v>19</v>
      </c>
      <c r="B26" s="54"/>
      <c r="C26" s="41">
        <f t="shared" ref="C26:N26" si="2">SUM(C18:C24)</f>
        <v>0</v>
      </c>
      <c r="D26" s="42">
        <f t="shared" si="2"/>
        <v>142</v>
      </c>
      <c r="E26" s="42">
        <f t="shared" si="2"/>
        <v>0</v>
      </c>
      <c r="F26" s="43">
        <f t="shared" si="2"/>
        <v>0</v>
      </c>
      <c r="G26" s="43">
        <f t="shared" si="2"/>
        <v>0</v>
      </c>
      <c r="H26" s="44">
        <f t="shared" si="2"/>
        <v>0</v>
      </c>
      <c r="I26" s="43">
        <f t="shared" si="2"/>
        <v>0</v>
      </c>
      <c r="J26" s="43">
        <f t="shared" si="2"/>
        <v>0</v>
      </c>
      <c r="K26" s="43">
        <f t="shared" si="2"/>
        <v>0</v>
      </c>
      <c r="L26" s="43">
        <f t="shared" si="2"/>
        <v>0</v>
      </c>
      <c r="M26" s="43">
        <f t="shared" si="2"/>
        <v>0</v>
      </c>
      <c r="N26" s="45">
        <f t="shared" si="2"/>
        <v>0</v>
      </c>
      <c r="O26" s="46">
        <f>SUM(C26:N26)</f>
        <v>142</v>
      </c>
    </row>
    <row r="27" spans="1:15" ht="16.5" thickTop="1" thickBot="1" x14ac:dyDescent="0.3">
      <c r="A27" s="39" t="s">
        <v>20</v>
      </c>
      <c r="B27" s="54"/>
      <c r="C27" s="47">
        <f t="shared" ref="C27:N27" si="3">C17*C26</f>
        <v>0</v>
      </c>
      <c r="D27" s="48">
        <f t="shared" si="3"/>
        <v>3834</v>
      </c>
      <c r="E27" s="48">
        <f t="shared" si="3"/>
        <v>0</v>
      </c>
      <c r="F27" s="48">
        <f t="shared" si="3"/>
        <v>0</v>
      </c>
      <c r="G27" s="48">
        <f t="shared" si="3"/>
        <v>0</v>
      </c>
      <c r="H27" s="48">
        <f t="shared" si="3"/>
        <v>0</v>
      </c>
      <c r="I27" s="48">
        <f t="shared" si="3"/>
        <v>0</v>
      </c>
      <c r="J27" s="48">
        <f t="shared" si="3"/>
        <v>0</v>
      </c>
      <c r="K27" s="48">
        <f t="shared" si="3"/>
        <v>0</v>
      </c>
      <c r="L27" s="48">
        <f t="shared" si="3"/>
        <v>0</v>
      </c>
      <c r="M27" s="48">
        <f t="shared" si="3"/>
        <v>0</v>
      </c>
      <c r="N27" s="49">
        <f t="shared" si="3"/>
        <v>0</v>
      </c>
      <c r="O27" s="50">
        <f>SUM(C27:N27)</f>
        <v>3834</v>
      </c>
    </row>
    <row r="28" spans="1:15" ht="16.5" thickTop="1" thickBot="1" x14ac:dyDescent="0.3"/>
    <row r="29" spans="1:15" ht="16.5" thickTop="1" thickBot="1" x14ac:dyDescent="0.3">
      <c r="A29" s="1" t="s">
        <v>23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</row>
    <row r="30" spans="1:15" ht="16.5" thickTop="1" thickBot="1" x14ac:dyDescent="0.3">
      <c r="A30" s="5" t="s">
        <v>2</v>
      </c>
      <c r="B30" s="5" t="s">
        <v>3</v>
      </c>
      <c r="C30" s="6" t="s">
        <v>4</v>
      </c>
      <c r="D30" s="7" t="s">
        <v>5</v>
      </c>
      <c r="E30" s="7" t="s">
        <v>6</v>
      </c>
      <c r="F30" s="7" t="s">
        <v>24</v>
      </c>
      <c r="G30" s="8" t="s">
        <v>8</v>
      </c>
      <c r="H30" s="8" t="s">
        <v>22</v>
      </c>
      <c r="I30" s="8" t="s">
        <v>10</v>
      </c>
      <c r="J30" s="8" t="s">
        <v>11</v>
      </c>
      <c r="K30" s="9" t="s">
        <v>12</v>
      </c>
      <c r="L30" s="10" t="s">
        <v>13</v>
      </c>
      <c r="M30" s="9" t="s">
        <v>14</v>
      </c>
      <c r="N30" s="9" t="s">
        <v>15</v>
      </c>
      <c r="O30" s="11" t="s">
        <v>16</v>
      </c>
    </row>
    <row r="31" spans="1:15" ht="15.75" thickBot="1" x14ac:dyDescent="0.3">
      <c r="A31" s="13"/>
      <c r="B31" s="13"/>
      <c r="C31" s="14">
        <v>24.5</v>
      </c>
      <c r="D31" s="15">
        <v>27</v>
      </c>
      <c r="E31" s="17">
        <v>24.5</v>
      </c>
      <c r="F31" s="16">
        <v>12.25</v>
      </c>
      <c r="G31" s="17">
        <v>24.5</v>
      </c>
      <c r="H31" s="17">
        <v>24.5</v>
      </c>
      <c r="I31" s="17">
        <v>22</v>
      </c>
      <c r="J31" s="17">
        <v>22</v>
      </c>
      <c r="K31" s="17">
        <v>26.5</v>
      </c>
      <c r="L31" s="19">
        <v>29</v>
      </c>
      <c r="M31" s="19">
        <v>17.5</v>
      </c>
      <c r="N31" s="19">
        <v>24.5</v>
      </c>
      <c r="O31" s="20"/>
    </row>
    <row r="32" spans="1:15" ht="15.75" thickTop="1" x14ac:dyDescent="0.25">
      <c r="A32" s="22">
        <v>46267</v>
      </c>
      <c r="B32" s="51">
        <v>4175</v>
      </c>
      <c r="C32" s="33"/>
      <c r="D32" s="33">
        <v>21</v>
      </c>
      <c r="E32" s="33"/>
      <c r="F32" s="33"/>
      <c r="G32" s="33"/>
      <c r="H32" s="33"/>
      <c r="I32" s="33"/>
      <c r="J32" s="33">
        <v>6</v>
      </c>
      <c r="K32" s="33"/>
      <c r="L32" s="33"/>
      <c r="M32" s="33"/>
      <c r="N32" s="31"/>
      <c r="O32" s="27">
        <f>C31*C32+D31*D32+E31*E32+F31*F32+G31*G32+I31*I32+H31*H32+J31*J32+K31*K32+L31*L32+M31*M32+N31*N32</f>
        <v>699</v>
      </c>
    </row>
    <row r="33" spans="1:15" x14ac:dyDescent="0.25">
      <c r="A33" s="29">
        <v>46270</v>
      </c>
      <c r="B33" s="23">
        <v>3711</v>
      </c>
      <c r="C33" s="33"/>
      <c r="D33" s="52">
        <v>21</v>
      </c>
      <c r="E33" s="33"/>
      <c r="F33" s="33"/>
      <c r="G33" s="33"/>
      <c r="H33" s="33"/>
      <c r="I33" s="33"/>
      <c r="J33" s="33"/>
      <c r="K33" s="33"/>
      <c r="L33" s="33"/>
      <c r="M33" s="33"/>
      <c r="N33" s="31"/>
      <c r="O33" s="30">
        <f>C31*C33+D31*D33+E31*E33+F31*F33+G31*G33+I31*I33+H31*H33+J31*J33+K31*K33+L31*L33+M31*M33+N31*N33</f>
        <v>567</v>
      </c>
    </row>
    <row r="34" spans="1:15" x14ac:dyDescent="0.25">
      <c r="A34" s="29"/>
      <c r="B34" s="2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1"/>
      <c r="O34" s="30">
        <f>C31*C34+D31*D34+E31*E34+F31*F34+G31*G34+I31*I34+H31*P129+J31*J34+K31*K34+L31*L34+M31*M34+N31*N34</f>
        <v>0</v>
      </c>
    </row>
    <row r="35" spans="1:15" x14ac:dyDescent="0.25">
      <c r="A35" s="29"/>
      <c r="B35" s="32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1"/>
      <c r="O35" s="30">
        <f>C31*C35+D31*D35+E31*E35+F31*F35+G31*G35+I31*I35+H31*H35+J31*J35+K31*K35+L31*L35+M31*M35+N31*N35</f>
        <v>0</v>
      </c>
    </row>
    <row r="36" spans="1:15" x14ac:dyDescent="0.25">
      <c r="A36" s="29"/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1"/>
      <c r="O36" s="30">
        <f>C31*C36+D31*D36+E31*E36+F31*F36+G31*G36+I31*I36+H31*H36+J31*J36+K31*K36+L31*L36+M31*M36+N31*N36</f>
        <v>0</v>
      </c>
    </row>
    <row r="37" spans="1:15" x14ac:dyDescent="0.25">
      <c r="A37" s="29"/>
      <c r="B37" s="32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1"/>
      <c r="O37" s="30">
        <f>C31*C37+D36*D37+E31*E37+F31*F37+G36*G37+I36*I37+H36*H37+J31*J37+K36*K37+L36*L37+M36*M37+N36*N37</f>
        <v>0</v>
      </c>
    </row>
    <row r="38" spans="1:15" ht="15.75" thickBot="1" x14ac:dyDescent="0.3">
      <c r="A38" s="32"/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1"/>
      <c r="O38" s="30">
        <f>C37*C38+D37*D38+E37*E38+F37*F38+G37*G38+I37*I38+H37*H38+J37*J38+K37*K38+L37*L38+M37*M38+N37*N38</f>
        <v>0</v>
      </c>
    </row>
    <row r="39" spans="1:15" ht="16.5" thickTop="1" thickBot="1" x14ac:dyDescent="0.3">
      <c r="A39" s="34" t="s">
        <v>18</v>
      </c>
      <c r="B39" s="35" t="s">
        <v>25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7"/>
      <c r="O39" s="38">
        <f>SUM(O32:O38)</f>
        <v>1266</v>
      </c>
    </row>
    <row r="40" spans="1:15" ht="16.5" thickTop="1" thickBot="1" x14ac:dyDescent="0.3">
      <c r="A40" s="39" t="s">
        <v>19</v>
      </c>
      <c r="B40" s="54"/>
      <c r="C40" s="41">
        <f t="shared" ref="C40:N40" si="4">SUM(C32:C38)</f>
        <v>0</v>
      </c>
      <c r="D40" s="42">
        <f t="shared" si="4"/>
        <v>42</v>
      </c>
      <c r="E40" s="42">
        <f t="shared" si="4"/>
        <v>0</v>
      </c>
      <c r="F40" s="43">
        <f t="shared" si="4"/>
        <v>0</v>
      </c>
      <c r="G40" s="43">
        <f t="shared" si="4"/>
        <v>0</v>
      </c>
      <c r="H40" s="44">
        <f t="shared" si="4"/>
        <v>0</v>
      </c>
      <c r="I40" s="43">
        <f t="shared" si="4"/>
        <v>0</v>
      </c>
      <c r="J40" s="43">
        <f t="shared" si="4"/>
        <v>6</v>
      </c>
      <c r="K40" s="43">
        <f t="shared" si="4"/>
        <v>0</v>
      </c>
      <c r="L40" s="43">
        <f t="shared" si="4"/>
        <v>0</v>
      </c>
      <c r="M40" s="43">
        <f t="shared" si="4"/>
        <v>0</v>
      </c>
      <c r="N40" s="45">
        <f t="shared" si="4"/>
        <v>0</v>
      </c>
      <c r="O40" s="46">
        <f>SUM(C40:N40)</f>
        <v>48</v>
      </c>
    </row>
    <row r="41" spans="1:15" ht="16.5" thickTop="1" thickBot="1" x14ac:dyDescent="0.3">
      <c r="A41" s="39" t="s">
        <v>20</v>
      </c>
      <c r="B41" s="54"/>
      <c r="C41" s="47">
        <f t="shared" ref="C41:N41" si="5">C31*C40</f>
        <v>0</v>
      </c>
      <c r="D41" s="48">
        <f t="shared" si="5"/>
        <v>1134</v>
      </c>
      <c r="E41" s="48">
        <f t="shared" si="5"/>
        <v>0</v>
      </c>
      <c r="F41" s="48">
        <f t="shared" si="5"/>
        <v>0</v>
      </c>
      <c r="G41" s="48">
        <f t="shared" si="5"/>
        <v>0</v>
      </c>
      <c r="H41" s="48">
        <f t="shared" si="5"/>
        <v>0</v>
      </c>
      <c r="I41" s="48">
        <f t="shared" si="5"/>
        <v>0</v>
      </c>
      <c r="J41" s="48">
        <f t="shared" si="5"/>
        <v>132</v>
      </c>
      <c r="K41" s="48">
        <f t="shared" si="5"/>
        <v>0</v>
      </c>
      <c r="L41" s="48">
        <f t="shared" si="5"/>
        <v>0</v>
      </c>
      <c r="M41" s="48">
        <f t="shared" si="5"/>
        <v>0</v>
      </c>
      <c r="N41" s="49">
        <f t="shared" si="5"/>
        <v>0</v>
      </c>
      <c r="O41" s="50">
        <f>SUM(C41:N41)</f>
        <v>1266</v>
      </c>
    </row>
    <row r="42" spans="1:15" ht="16.5" thickTop="1" thickBot="1" x14ac:dyDescent="0.3"/>
    <row r="43" spans="1:15" ht="16.5" thickTop="1" thickBot="1" x14ac:dyDescent="0.3">
      <c r="A43" s="1" t="s">
        <v>26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</row>
    <row r="44" spans="1:15" ht="16.5" thickTop="1" thickBot="1" x14ac:dyDescent="0.3">
      <c r="A44" s="5" t="s">
        <v>2</v>
      </c>
      <c r="B44" s="5" t="s">
        <v>3</v>
      </c>
      <c r="C44" s="6" t="s">
        <v>4</v>
      </c>
      <c r="D44" s="7" t="s">
        <v>5</v>
      </c>
      <c r="E44" s="7" t="s">
        <v>6</v>
      </c>
      <c r="F44" s="7" t="s">
        <v>7</v>
      </c>
      <c r="G44" s="8" t="s">
        <v>8</v>
      </c>
      <c r="H44" s="8" t="s">
        <v>22</v>
      </c>
      <c r="I44" s="8" t="s">
        <v>10</v>
      </c>
      <c r="J44" s="8" t="s">
        <v>11</v>
      </c>
      <c r="K44" s="9" t="s">
        <v>12</v>
      </c>
      <c r="L44" s="10" t="s">
        <v>13</v>
      </c>
      <c r="M44" s="9" t="s">
        <v>14</v>
      </c>
      <c r="N44" s="9" t="s">
        <v>15</v>
      </c>
      <c r="O44" s="11" t="s">
        <v>16</v>
      </c>
    </row>
    <row r="45" spans="1:15" ht="15.75" thickBot="1" x14ac:dyDescent="0.3">
      <c r="A45" s="13"/>
      <c r="B45" s="13"/>
      <c r="C45" s="55">
        <v>27</v>
      </c>
      <c r="D45" s="15"/>
      <c r="E45" s="15">
        <v>27</v>
      </c>
      <c r="F45" s="16">
        <v>24.5</v>
      </c>
      <c r="G45" s="17">
        <v>24.5</v>
      </c>
      <c r="H45" s="17">
        <v>24.5</v>
      </c>
      <c r="I45" s="17">
        <v>22</v>
      </c>
      <c r="J45" s="17">
        <v>19.5</v>
      </c>
      <c r="K45" s="17">
        <v>26.5</v>
      </c>
      <c r="L45" s="18">
        <v>29</v>
      </c>
      <c r="M45" s="19">
        <v>11.5</v>
      </c>
      <c r="N45" s="19">
        <v>24.5</v>
      </c>
      <c r="O45" s="20"/>
    </row>
    <row r="46" spans="1:15" ht="15.75" thickTop="1" x14ac:dyDescent="0.25">
      <c r="A46" s="22"/>
      <c r="B46" s="51"/>
      <c r="C46" s="52"/>
      <c r="D46" s="33"/>
      <c r="E46" s="52"/>
      <c r="F46" s="33"/>
      <c r="G46" s="33"/>
      <c r="H46" s="33"/>
      <c r="I46" s="33"/>
      <c r="J46" s="33"/>
      <c r="K46" s="33"/>
      <c r="L46" s="52"/>
      <c r="M46" s="33"/>
      <c r="N46" s="31"/>
      <c r="O46" s="30">
        <f>C45*C46+D45*D46+E45*E46+F45*F46+G45*G46+I45*I46+H45*H46+J45*J46+K45*K46+L45*L46+M45*M46+N45*N46</f>
        <v>0</v>
      </c>
    </row>
    <row r="47" spans="1:15" x14ac:dyDescent="0.25">
      <c r="A47" s="29"/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52"/>
      <c r="M47" s="33"/>
      <c r="N47" s="31"/>
      <c r="O47" s="30">
        <f>C45*C47+D45*D47+E45*E47+F45*F47+G45*G47+I45*I47+H45*H47+J45*J47+K45*K47+L45*L47+M45*M47+N45*N47</f>
        <v>0</v>
      </c>
    </row>
    <row r="48" spans="1:15" x14ac:dyDescent="0.25">
      <c r="A48" s="29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52"/>
      <c r="M48" s="33"/>
      <c r="N48" s="31"/>
      <c r="O48" s="30">
        <f>C45*C48+D45*D48+E45*E48+F45*F48+G45*G48+I45*I48+H45*H48+J45*J48+K45*K48+L45*L48+M45*M48+N45*N48</f>
        <v>0</v>
      </c>
    </row>
    <row r="49" spans="1:15" x14ac:dyDescent="0.25">
      <c r="A49" s="29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1"/>
      <c r="O49" s="30">
        <f>C45*C49+D45*D49+E45*E49+F45*F49+G45*G49+I45*I49+H45*H49+J45*J49+K45*K49+L45*L49+M45*M49+N45*N49</f>
        <v>0</v>
      </c>
    </row>
    <row r="50" spans="1:15" x14ac:dyDescent="0.25">
      <c r="A50" s="29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1"/>
      <c r="O50" s="30">
        <f>C45*C50+D45*D50+E45*E50+F45*F50+G45*G50+I45*I50+H45*H50+J45*J50+K45*K50+L45*L50+M45*M50+N45*N50</f>
        <v>0</v>
      </c>
    </row>
    <row r="51" spans="1:15" x14ac:dyDescent="0.25">
      <c r="A51" s="29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1"/>
      <c r="O51" s="30">
        <f>C45*C51+D45*D51+E45*E51+F45*F51+G45*G51+I45*I51+H45*H51+J45*J51+K45*K51+L45*L51+M45*M51+N45*N51</f>
        <v>0</v>
      </c>
    </row>
    <row r="52" spans="1:15" ht="15.75" thickBot="1" x14ac:dyDescent="0.3">
      <c r="A52" s="32"/>
      <c r="B52" s="32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1"/>
      <c r="O52" s="30">
        <f>C45*C52+D45*D52+E45*E52+F45*F52+G45*G52+I45*I52+H45*H52+J45*J52+K45*K52+L45*L52+M45*M52+N45*N52</f>
        <v>0</v>
      </c>
    </row>
    <row r="53" spans="1:15" ht="16.5" thickTop="1" thickBot="1" x14ac:dyDescent="0.3">
      <c r="A53" s="34" t="s">
        <v>18</v>
      </c>
      <c r="B53" s="35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7"/>
      <c r="O53" s="56">
        <f>SUM(O46:O52)</f>
        <v>0</v>
      </c>
    </row>
    <row r="54" spans="1:15" ht="16.5" thickTop="1" thickBot="1" x14ac:dyDescent="0.3">
      <c r="A54" s="39" t="s">
        <v>19</v>
      </c>
      <c r="B54" s="54"/>
      <c r="C54" s="41">
        <f t="shared" ref="C54:N54" si="6">SUM(C46:C52)</f>
        <v>0</v>
      </c>
      <c r="D54" s="42">
        <f t="shared" si="6"/>
        <v>0</v>
      </c>
      <c r="E54" s="42">
        <f t="shared" si="6"/>
        <v>0</v>
      </c>
      <c r="F54" s="43">
        <f t="shared" si="6"/>
        <v>0</v>
      </c>
      <c r="G54" s="43">
        <f t="shared" si="6"/>
        <v>0</v>
      </c>
      <c r="H54" s="44">
        <f t="shared" si="6"/>
        <v>0</v>
      </c>
      <c r="I54" s="43">
        <f t="shared" si="6"/>
        <v>0</v>
      </c>
      <c r="J54" s="43">
        <f t="shared" si="6"/>
        <v>0</v>
      </c>
      <c r="K54" s="43">
        <f t="shared" si="6"/>
        <v>0</v>
      </c>
      <c r="L54" s="43">
        <f t="shared" si="6"/>
        <v>0</v>
      </c>
      <c r="M54" s="43">
        <f t="shared" si="6"/>
        <v>0</v>
      </c>
      <c r="N54" s="45">
        <f t="shared" si="6"/>
        <v>0</v>
      </c>
      <c r="O54" s="46">
        <f>SUM(C54:N54)</f>
        <v>0</v>
      </c>
    </row>
    <row r="55" spans="1:15" ht="16.5" thickTop="1" thickBot="1" x14ac:dyDescent="0.3">
      <c r="A55" s="39" t="s">
        <v>20</v>
      </c>
      <c r="B55" s="54"/>
      <c r="C55" s="47">
        <f t="shared" ref="C55:N55" si="7">C45*C54</f>
        <v>0</v>
      </c>
      <c r="D55" s="48">
        <f t="shared" si="7"/>
        <v>0</v>
      </c>
      <c r="E55" s="48">
        <f t="shared" si="7"/>
        <v>0</v>
      </c>
      <c r="F55" s="48">
        <f t="shared" si="7"/>
        <v>0</v>
      </c>
      <c r="G55" s="48">
        <f t="shared" si="7"/>
        <v>0</v>
      </c>
      <c r="H55" s="48">
        <f t="shared" si="7"/>
        <v>0</v>
      </c>
      <c r="I55" s="48">
        <f t="shared" si="7"/>
        <v>0</v>
      </c>
      <c r="J55" s="48">
        <f t="shared" si="7"/>
        <v>0</v>
      </c>
      <c r="K55" s="48">
        <f t="shared" si="7"/>
        <v>0</v>
      </c>
      <c r="L55" s="48">
        <f t="shared" si="7"/>
        <v>0</v>
      </c>
      <c r="M55" s="48">
        <f t="shared" si="7"/>
        <v>0</v>
      </c>
      <c r="N55" s="49">
        <f t="shared" si="7"/>
        <v>0</v>
      </c>
      <c r="O55" s="50">
        <f>SUM(C55:N55)</f>
        <v>0</v>
      </c>
    </row>
    <row r="56" spans="1:15" ht="16.5" thickTop="1" thickBot="1" x14ac:dyDescent="0.3"/>
    <row r="57" spans="1:15" ht="16.5" thickTop="1" thickBot="1" x14ac:dyDescent="0.3">
      <c r="A57" s="1" t="s">
        <v>27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</row>
    <row r="58" spans="1:15" ht="16.5" thickTop="1" thickBot="1" x14ac:dyDescent="0.3">
      <c r="A58" s="5" t="s">
        <v>2</v>
      </c>
      <c r="B58" s="5" t="s">
        <v>3</v>
      </c>
      <c r="C58" s="6" t="s">
        <v>4</v>
      </c>
      <c r="D58" s="7" t="s">
        <v>5</v>
      </c>
      <c r="E58" s="7" t="s">
        <v>6</v>
      </c>
      <c r="F58" s="7" t="s">
        <v>7</v>
      </c>
      <c r="G58" s="8" t="s">
        <v>8</v>
      </c>
      <c r="H58" s="8" t="s">
        <v>22</v>
      </c>
      <c r="I58" s="8" t="s">
        <v>10</v>
      </c>
      <c r="J58" s="8" t="s">
        <v>11</v>
      </c>
      <c r="K58" s="9" t="s">
        <v>12</v>
      </c>
      <c r="L58" s="10" t="s">
        <v>13</v>
      </c>
      <c r="M58" s="9" t="s">
        <v>14</v>
      </c>
      <c r="N58" s="9" t="s">
        <v>15</v>
      </c>
      <c r="O58" s="11" t="s">
        <v>16</v>
      </c>
    </row>
    <row r="59" spans="1:15" ht="15.75" thickBot="1" x14ac:dyDescent="0.3">
      <c r="A59" s="13"/>
      <c r="B59" s="13"/>
      <c r="C59" s="14">
        <v>24.5</v>
      </c>
      <c r="D59" s="15">
        <v>27</v>
      </c>
      <c r="E59" s="17">
        <v>24.5</v>
      </c>
      <c r="F59" s="16">
        <v>24.5</v>
      </c>
      <c r="G59" s="17">
        <v>24.5</v>
      </c>
      <c r="H59" s="17">
        <v>24.5</v>
      </c>
      <c r="I59" s="17">
        <v>22</v>
      </c>
      <c r="J59" s="17">
        <v>19.5</v>
      </c>
      <c r="K59" s="17">
        <v>26.5</v>
      </c>
      <c r="L59" s="19">
        <v>29</v>
      </c>
      <c r="M59" s="19">
        <v>11.5</v>
      </c>
      <c r="N59" s="19">
        <v>24.5</v>
      </c>
      <c r="O59" s="20"/>
    </row>
    <row r="60" spans="1:15" ht="15.75" thickTop="1" x14ac:dyDescent="0.25">
      <c r="A60" s="22">
        <v>46266</v>
      </c>
      <c r="B60" s="32" t="s">
        <v>28</v>
      </c>
      <c r="C60" s="24"/>
      <c r="D60" s="24">
        <v>21</v>
      </c>
      <c r="E60" s="24"/>
      <c r="F60" s="24"/>
      <c r="G60" s="24"/>
      <c r="H60" s="24"/>
      <c r="I60" s="24"/>
      <c r="J60" s="25"/>
      <c r="K60" s="24"/>
      <c r="L60" s="24"/>
      <c r="M60" s="33"/>
      <c r="N60" s="31"/>
      <c r="O60" s="27">
        <f>C59*C60+D59*D60+E59*E60+F59*F60+G59*G60+I59*I60+H59*H60+J59*J60+K59*K60+L59*L60+M59*M60+N59*N60</f>
        <v>567</v>
      </c>
    </row>
    <row r="61" spans="1:15" x14ac:dyDescent="0.25">
      <c r="A61" s="29">
        <v>46268</v>
      </c>
      <c r="B61" s="23">
        <v>6794</v>
      </c>
      <c r="C61" s="24"/>
      <c r="D61" s="25">
        <v>21</v>
      </c>
      <c r="E61" s="24"/>
      <c r="F61" s="24"/>
      <c r="G61" s="24"/>
      <c r="H61" s="24"/>
      <c r="I61" s="24"/>
      <c r="J61" s="25"/>
      <c r="K61" s="24"/>
      <c r="L61" s="24"/>
      <c r="M61" s="33"/>
      <c r="N61" s="31"/>
      <c r="O61" s="30">
        <f>C59*C61+D59*D61+E59*E61+F59*F61+G59*G61+I59*I61+H59*H61+J59*J61+K59*K61+L59*L61+M59*M61+N59*N61</f>
        <v>567</v>
      </c>
    </row>
    <row r="62" spans="1:15" x14ac:dyDescent="0.25">
      <c r="A62" s="29">
        <v>46270</v>
      </c>
      <c r="B62" s="23">
        <v>6829</v>
      </c>
      <c r="C62" s="24"/>
      <c r="D62" s="24">
        <v>21</v>
      </c>
      <c r="E62" s="24"/>
      <c r="F62" s="24"/>
      <c r="G62" s="24"/>
      <c r="H62" s="24"/>
      <c r="I62" s="24"/>
      <c r="J62" s="24"/>
      <c r="K62" s="24"/>
      <c r="L62" s="24"/>
      <c r="M62" s="33"/>
      <c r="N62" s="31"/>
      <c r="O62" s="30">
        <f>C59*C62+D59*D62+E59*E62+F59*F62+G59*G62+I59*I62+H59*H62+J59*J62+K59*K62+L59*L62+M59*M62+N59*N62</f>
        <v>567</v>
      </c>
    </row>
    <row r="63" spans="1:15" x14ac:dyDescent="0.25">
      <c r="A63" s="29"/>
      <c r="B63" s="23"/>
      <c r="C63" s="24"/>
      <c r="D63" s="25"/>
      <c r="E63" s="24"/>
      <c r="F63" s="24"/>
      <c r="G63" s="24"/>
      <c r="H63" s="24"/>
      <c r="I63" s="24"/>
      <c r="J63" s="24"/>
      <c r="K63" s="24"/>
      <c r="L63" s="24"/>
      <c r="M63" s="33"/>
      <c r="N63" s="31"/>
      <c r="O63" s="30">
        <f>C59*C63+D59*D63+E59*E63+F59*F63+G59*G63+I59*I63+H59*H63+J59*J63+K59*K63+L59*L63+M59*M63+N59*N63</f>
        <v>0</v>
      </c>
    </row>
    <row r="64" spans="1:15" x14ac:dyDescent="0.25">
      <c r="A64" s="29"/>
      <c r="B64" s="32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33"/>
      <c r="N64" s="31"/>
      <c r="O64" s="30">
        <f>C59*C64+D59*D64+E59*E64+F59*F64+G59*G64+I59*I64+H59*H64+J59*J64+K59*K64+L59*L64+M59*M64+N59*N64</f>
        <v>0</v>
      </c>
    </row>
    <row r="65" spans="1:15" x14ac:dyDescent="0.25">
      <c r="A65" s="29"/>
      <c r="B65" s="32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33"/>
      <c r="N65" s="31"/>
      <c r="O65" s="30">
        <f>C59*C65+D59*D65+E59*E65+F59*F65+G59*G65+I59*I65+H59*H65+J59*J65+K59*K65+L59*L65+M59*M65+N59*N65</f>
        <v>0</v>
      </c>
    </row>
    <row r="66" spans="1:15" ht="15.75" thickBot="1" x14ac:dyDescent="0.3">
      <c r="A66" s="32"/>
      <c r="B66" s="32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1"/>
      <c r="O66" s="57">
        <f>C63*C66+D63*D66+E63*E66+F63*F66+G63*G66+H63*H66+I63*I66+J63*J66+K63*K66+L63*L66+M63*M66+N63*N66</f>
        <v>0</v>
      </c>
    </row>
    <row r="67" spans="1:15" ht="16.5" thickTop="1" thickBot="1" x14ac:dyDescent="0.3">
      <c r="A67" s="34" t="s">
        <v>18</v>
      </c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7"/>
      <c r="O67" s="56">
        <f>SUM(O60:O66)</f>
        <v>1701</v>
      </c>
    </row>
    <row r="68" spans="1:15" ht="16.5" thickTop="1" thickBot="1" x14ac:dyDescent="0.3">
      <c r="A68" s="39" t="s">
        <v>19</v>
      </c>
      <c r="B68" s="54"/>
      <c r="C68" s="41">
        <f t="shared" ref="C68:N68" si="8">SUM(C60:C66)</f>
        <v>0</v>
      </c>
      <c r="D68" s="42">
        <f t="shared" si="8"/>
        <v>63</v>
      </c>
      <c r="E68" s="42">
        <f t="shared" si="8"/>
        <v>0</v>
      </c>
      <c r="F68" s="43">
        <f t="shared" si="8"/>
        <v>0</v>
      </c>
      <c r="G68" s="43">
        <f t="shared" si="8"/>
        <v>0</v>
      </c>
      <c r="H68" s="44">
        <f t="shared" si="8"/>
        <v>0</v>
      </c>
      <c r="I68" s="43">
        <f t="shared" si="8"/>
        <v>0</v>
      </c>
      <c r="J68" s="43">
        <f t="shared" si="8"/>
        <v>0</v>
      </c>
      <c r="K68" s="43">
        <f t="shared" si="8"/>
        <v>0</v>
      </c>
      <c r="L68" s="43">
        <f t="shared" si="8"/>
        <v>0</v>
      </c>
      <c r="M68" s="43">
        <f t="shared" si="8"/>
        <v>0</v>
      </c>
      <c r="N68" s="45">
        <f t="shared" si="8"/>
        <v>0</v>
      </c>
      <c r="O68" s="46">
        <f>SUM(C68:N68)</f>
        <v>63</v>
      </c>
    </row>
    <row r="69" spans="1:15" ht="16.5" thickTop="1" thickBot="1" x14ac:dyDescent="0.3">
      <c r="A69" s="39" t="s">
        <v>20</v>
      </c>
      <c r="B69" s="54"/>
      <c r="C69" s="47">
        <f t="shared" ref="C69:N69" si="9">C59*C68</f>
        <v>0</v>
      </c>
      <c r="D69" s="48">
        <f t="shared" si="9"/>
        <v>1701</v>
      </c>
      <c r="E69" s="48">
        <f t="shared" si="9"/>
        <v>0</v>
      </c>
      <c r="F69" s="48">
        <f t="shared" si="9"/>
        <v>0</v>
      </c>
      <c r="G69" s="48">
        <f t="shared" si="9"/>
        <v>0</v>
      </c>
      <c r="H69" s="48">
        <f t="shared" si="9"/>
        <v>0</v>
      </c>
      <c r="I69" s="48">
        <f t="shared" si="9"/>
        <v>0</v>
      </c>
      <c r="J69" s="48">
        <f t="shared" si="9"/>
        <v>0</v>
      </c>
      <c r="K69" s="48">
        <f t="shared" si="9"/>
        <v>0</v>
      </c>
      <c r="L69" s="48">
        <f t="shared" si="9"/>
        <v>0</v>
      </c>
      <c r="M69" s="48">
        <f t="shared" si="9"/>
        <v>0</v>
      </c>
      <c r="N69" s="49">
        <f t="shared" si="9"/>
        <v>0</v>
      </c>
      <c r="O69" s="50">
        <f>SUM(C69:N69)</f>
        <v>1701</v>
      </c>
    </row>
    <row r="70" spans="1:15" ht="16.5" thickTop="1" thickBot="1" x14ac:dyDescent="0.3"/>
    <row r="71" spans="1:15" ht="16.5" thickTop="1" thickBot="1" x14ac:dyDescent="0.3">
      <c r="A71" s="1" t="s">
        <v>29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</row>
    <row r="72" spans="1:15" ht="16.5" thickTop="1" thickBot="1" x14ac:dyDescent="0.3">
      <c r="A72" s="5" t="s">
        <v>2</v>
      </c>
      <c r="B72" s="5" t="s">
        <v>3</v>
      </c>
      <c r="C72" s="6" t="s">
        <v>4</v>
      </c>
      <c r="D72" s="7" t="s">
        <v>5</v>
      </c>
      <c r="E72" s="7" t="s">
        <v>6</v>
      </c>
      <c r="F72" s="7" t="s">
        <v>7</v>
      </c>
      <c r="G72" s="8" t="s">
        <v>8</v>
      </c>
      <c r="H72" s="8" t="s">
        <v>22</v>
      </c>
      <c r="I72" s="8" t="s">
        <v>10</v>
      </c>
      <c r="J72" s="8" t="s">
        <v>11</v>
      </c>
      <c r="K72" s="9" t="s">
        <v>12</v>
      </c>
      <c r="L72" s="10" t="s">
        <v>13</v>
      </c>
      <c r="M72" s="9" t="s">
        <v>30</v>
      </c>
      <c r="N72" s="9" t="s">
        <v>15</v>
      </c>
      <c r="O72" s="11" t="s">
        <v>16</v>
      </c>
    </row>
    <row r="73" spans="1:15" ht="15.75" thickBot="1" x14ac:dyDescent="0.3">
      <c r="A73" s="13"/>
      <c r="B73" s="13"/>
      <c r="C73" s="14">
        <v>24.5</v>
      </c>
      <c r="D73" s="15">
        <v>27</v>
      </c>
      <c r="E73" s="17">
        <v>24.5</v>
      </c>
      <c r="F73" s="15">
        <v>27</v>
      </c>
      <c r="G73" s="17">
        <v>27</v>
      </c>
      <c r="H73" s="17">
        <v>24.5</v>
      </c>
      <c r="I73" s="15">
        <v>22</v>
      </c>
      <c r="J73" s="17">
        <v>22</v>
      </c>
      <c r="K73" s="17">
        <v>26.5</v>
      </c>
      <c r="L73" s="18">
        <v>29</v>
      </c>
      <c r="M73" s="19">
        <v>24.5</v>
      </c>
      <c r="N73" s="18">
        <v>27</v>
      </c>
      <c r="O73" s="20"/>
    </row>
    <row r="74" spans="1:15" ht="15.75" thickTop="1" x14ac:dyDescent="0.25">
      <c r="A74" s="22">
        <v>46266</v>
      </c>
      <c r="B74" s="51" t="s">
        <v>31</v>
      </c>
      <c r="C74" s="33"/>
      <c r="D74" s="33">
        <v>42</v>
      </c>
      <c r="E74" s="33"/>
      <c r="F74" s="33"/>
      <c r="G74" s="33"/>
      <c r="H74" s="33"/>
      <c r="I74" s="33"/>
      <c r="J74" s="33"/>
      <c r="K74" s="33">
        <v>4</v>
      </c>
      <c r="L74" s="33"/>
      <c r="M74" s="33"/>
      <c r="N74" s="26"/>
      <c r="O74" s="27">
        <f>C73*C74+D73*D74+E73*E74+F73*F74+G73*G74+I73*I74+H73*H74+J73*J74+K73*K74+L73*L74+M73*M74+N73*N74</f>
        <v>1240</v>
      </c>
    </row>
    <row r="75" spans="1:15" x14ac:dyDescent="0.25">
      <c r="A75" s="29">
        <v>46268</v>
      </c>
      <c r="B75" s="32">
        <v>6793</v>
      </c>
      <c r="C75" s="33"/>
      <c r="D75" s="33">
        <v>5</v>
      </c>
      <c r="E75" s="33"/>
      <c r="F75" s="33"/>
      <c r="G75" s="33"/>
      <c r="H75" s="33"/>
      <c r="I75" s="33"/>
      <c r="J75" s="33"/>
      <c r="K75" s="33"/>
      <c r="L75" s="33"/>
      <c r="M75" s="33"/>
      <c r="N75" s="26"/>
      <c r="O75" s="30">
        <f>C73*C75+D73*D75+E73*E75+F73*F75+G73*G75+I73*I75+H73*H75+J73*J75+K73*K75+L73*L75+M73*M75+N73*N75</f>
        <v>135</v>
      </c>
    </row>
    <row r="76" spans="1:15" x14ac:dyDescent="0.25">
      <c r="A76" s="29">
        <v>46270</v>
      </c>
      <c r="B76" s="32">
        <v>6828</v>
      </c>
      <c r="C76" s="33"/>
      <c r="D76" s="33">
        <v>18</v>
      </c>
      <c r="E76" s="33"/>
      <c r="F76" s="33"/>
      <c r="G76" s="33"/>
      <c r="H76" s="33"/>
      <c r="I76" s="33"/>
      <c r="J76" s="33"/>
      <c r="K76" s="33"/>
      <c r="L76" s="33">
        <v>3</v>
      </c>
      <c r="M76" s="33"/>
      <c r="N76" s="26"/>
      <c r="O76" s="30">
        <f>C73*C76+D73*D76+E73*E76+F73*F76+G73*G76+I73*I76+H73*H76+J73*J76+K73*K76+L73*L76+M73*M76+N73*N76</f>
        <v>573</v>
      </c>
    </row>
    <row r="77" spans="1:15" x14ac:dyDescent="0.25">
      <c r="A77" s="29"/>
      <c r="B77" s="23"/>
      <c r="C77" s="33"/>
      <c r="D77" s="33"/>
      <c r="E77" s="33"/>
      <c r="F77" s="33"/>
      <c r="G77" s="33"/>
      <c r="H77" s="33"/>
      <c r="I77" s="52"/>
      <c r="J77" s="33"/>
      <c r="K77" s="33"/>
      <c r="L77" s="33"/>
      <c r="M77" s="33"/>
      <c r="N77" s="26"/>
      <c r="O77" s="30">
        <f>C73*C77+D73*D77+E73*E77+F73*F77+G73*G77+I73*I77+H73*H77+J73*J77+K73*K77+L73*L77+M73*M77+N73*N77</f>
        <v>0</v>
      </c>
    </row>
    <row r="78" spans="1:15" x14ac:dyDescent="0.25">
      <c r="A78" s="29"/>
      <c r="B78" s="32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26"/>
      <c r="O78" s="30">
        <f>C73*C78+D73*D78+E73*E78+F73*F78+G73*G78+I73*I78+H73*H78+J73*J78+K73*K78+L73*L78+M73*M78+N73*N78</f>
        <v>0</v>
      </c>
    </row>
    <row r="79" spans="1:15" x14ac:dyDescent="0.25">
      <c r="A79" s="29"/>
      <c r="B79" s="32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26"/>
      <c r="O79" s="30">
        <f>C73*C79+D73*D79+E73*E79+F73*F79+G73*G79+I73*I79+H73*H79+J73*J79+K73*K79+L73*L79+M73*M79+N73*N79</f>
        <v>0</v>
      </c>
    </row>
    <row r="80" spans="1:15" ht="15.75" thickBot="1" x14ac:dyDescent="0.3">
      <c r="A80" s="32"/>
      <c r="B80" s="32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1"/>
      <c r="O80" s="57">
        <f>C73*C80+D73*D80+E73*E80+F73*F80+G73*G80+H73*H80+I73*I80+J73*J80+K73*K80+L73*L80+M73*M80+N73*N80</f>
        <v>0</v>
      </c>
    </row>
    <row r="81" spans="1:15" ht="16.5" thickTop="1" thickBot="1" x14ac:dyDescent="0.3">
      <c r="A81" s="34" t="s">
        <v>18</v>
      </c>
      <c r="B81" s="35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7"/>
      <c r="O81" s="56">
        <f>SUM(O74:O80)</f>
        <v>1948</v>
      </c>
    </row>
    <row r="82" spans="1:15" ht="16.5" thickTop="1" thickBot="1" x14ac:dyDescent="0.3">
      <c r="A82" s="39" t="s">
        <v>19</v>
      </c>
      <c r="B82" s="54"/>
      <c r="C82" s="41">
        <f t="shared" ref="C82:N82" si="10">SUM(C74:C80)</f>
        <v>0</v>
      </c>
      <c r="D82" s="42">
        <f t="shared" si="10"/>
        <v>65</v>
      </c>
      <c r="E82" s="42">
        <f t="shared" si="10"/>
        <v>0</v>
      </c>
      <c r="F82" s="43">
        <f t="shared" si="10"/>
        <v>0</v>
      </c>
      <c r="G82" s="43">
        <f t="shared" si="10"/>
        <v>0</v>
      </c>
      <c r="H82" s="44">
        <f t="shared" si="10"/>
        <v>0</v>
      </c>
      <c r="I82" s="43">
        <f t="shared" si="10"/>
        <v>0</v>
      </c>
      <c r="J82" s="43">
        <f t="shared" si="10"/>
        <v>0</v>
      </c>
      <c r="K82" s="43">
        <f t="shared" si="10"/>
        <v>4</v>
      </c>
      <c r="L82" s="43">
        <f t="shared" si="10"/>
        <v>3</v>
      </c>
      <c r="M82" s="43">
        <f t="shared" si="10"/>
        <v>0</v>
      </c>
      <c r="N82" s="45">
        <f t="shared" si="10"/>
        <v>0</v>
      </c>
      <c r="O82" s="46">
        <f>SUM(C82:N82)</f>
        <v>72</v>
      </c>
    </row>
    <row r="83" spans="1:15" ht="16.5" thickTop="1" thickBot="1" x14ac:dyDescent="0.3">
      <c r="A83" s="39" t="s">
        <v>20</v>
      </c>
      <c r="B83" s="54"/>
      <c r="C83" s="47">
        <f t="shared" ref="C83:N83" si="11">C73*C82</f>
        <v>0</v>
      </c>
      <c r="D83" s="48">
        <f t="shared" si="11"/>
        <v>1755</v>
      </c>
      <c r="E83" s="48">
        <f t="shared" si="11"/>
        <v>0</v>
      </c>
      <c r="F83" s="48">
        <f t="shared" si="11"/>
        <v>0</v>
      </c>
      <c r="G83" s="48">
        <f t="shared" si="11"/>
        <v>0</v>
      </c>
      <c r="H83" s="48">
        <f t="shared" si="11"/>
        <v>0</v>
      </c>
      <c r="I83" s="48">
        <f t="shared" si="11"/>
        <v>0</v>
      </c>
      <c r="J83" s="48">
        <f t="shared" si="11"/>
        <v>0</v>
      </c>
      <c r="K83" s="48">
        <f t="shared" si="11"/>
        <v>106</v>
      </c>
      <c r="L83" s="48">
        <f t="shared" si="11"/>
        <v>87</v>
      </c>
      <c r="M83" s="48">
        <f t="shared" si="11"/>
        <v>0</v>
      </c>
      <c r="N83" s="49">
        <f t="shared" si="11"/>
        <v>0</v>
      </c>
      <c r="O83" s="50">
        <f>SUM(C83:N83)</f>
        <v>1948</v>
      </c>
    </row>
    <row r="84" spans="1:15" ht="16.5" thickTop="1" thickBot="1" x14ac:dyDescent="0.3"/>
    <row r="85" spans="1:15" ht="16.5" thickTop="1" thickBot="1" x14ac:dyDescent="0.3">
      <c r="A85" s="1" t="s">
        <v>32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</row>
    <row r="86" spans="1:15" ht="16.5" thickTop="1" thickBot="1" x14ac:dyDescent="0.3">
      <c r="A86" s="5" t="s">
        <v>2</v>
      </c>
      <c r="B86" s="5" t="s">
        <v>3</v>
      </c>
      <c r="C86" s="6" t="s">
        <v>4</v>
      </c>
      <c r="D86" s="7" t="s">
        <v>5</v>
      </c>
      <c r="E86" s="7" t="s">
        <v>6</v>
      </c>
      <c r="F86" s="7" t="s">
        <v>7</v>
      </c>
      <c r="G86" s="8" t="s">
        <v>8</v>
      </c>
      <c r="H86" s="8" t="s">
        <v>22</v>
      </c>
      <c r="I86" s="8" t="s">
        <v>10</v>
      </c>
      <c r="J86" s="8" t="s">
        <v>11</v>
      </c>
      <c r="K86" s="9" t="s">
        <v>12</v>
      </c>
      <c r="L86" s="10" t="s">
        <v>13</v>
      </c>
      <c r="M86" s="9" t="s">
        <v>14</v>
      </c>
      <c r="N86" s="9" t="s">
        <v>15</v>
      </c>
      <c r="O86" s="11" t="s">
        <v>16</v>
      </c>
    </row>
    <row r="87" spans="1:15" ht="15.75" thickBot="1" x14ac:dyDescent="0.3">
      <c r="A87" s="13"/>
      <c r="B87" s="13"/>
      <c r="C87" s="14">
        <v>24.5</v>
      </c>
      <c r="D87" s="15">
        <v>27</v>
      </c>
      <c r="E87" s="17">
        <v>24.5</v>
      </c>
      <c r="F87" s="16">
        <v>24.5</v>
      </c>
      <c r="G87" s="17">
        <v>24.5</v>
      </c>
      <c r="H87" s="17">
        <v>24.5</v>
      </c>
      <c r="I87" s="15">
        <v>22</v>
      </c>
      <c r="J87" s="17">
        <v>22</v>
      </c>
      <c r="K87" s="17">
        <v>26.5</v>
      </c>
      <c r="L87" s="18">
        <v>29</v>
      </c>
      <c r="M87" s="19">
        <v>11.5</v>
      </c>
      <c r="N87" s="19">
        <v>24.5</v>
      </c>
      <c r="O87" s="20"/>
    </row>
    <row r="88" spans="1:15" ht="15.75" thickTop="1" x14ac:dyDescent="0.25">
      <c r="A88" s="22">
        <v>46268</v>
      </c>
      <c r="B88" s="51">
        <v>4769</v>
      </c>
      <c r="C88" s="33"/>
      <c r="D88" s="33">
        <v>12</v>
      </c>
      <c r="E88" s="33"/>
      <c r="F88" s="33"/>
      <c r="G88" s="33"/>
      <c r="H88" s="33"/>
      <c r="I88" s="33"/>
      <c r="J88" s="33"/>
      <c r="K88" s="33"/>
      <c r="L88" s="33"/>
      <c r="M88" s="33"/>
      <c r="N88" s="31"/>
      <c r="O88" s="27">
        <f>C87*C88+D87*D88+E87*E88+F87*F88+G87*G88+I87*I88+H87*H88+J87*J88+K87*K88+L87*L88+M87*M88+N87*N88</f>
        <v>324</v>
      </c>
    </row>
    <row r="89" spans="1:15" x14ac:dyDescent="0.25">
      <c r="A89" s="29">
        <v>46269</v>
      </c>
      <c r="B89" s="32">
        <v>4771</v>
      </c>
      <c r="C89" s="33"/>
      <c r="D89" s="33">
        <v>10</v>
      </c>
      <c r="E89" s="33"/>
      <c r="F89" s="33"/>
      <c r="G89" s="33"/>
      <c r="H89" s="33"/>
      <c r="I89" s="33"/>
      <c r="J89" s="33"/>
      <c r="K89" s="33"/>
      <c r="L89" s="33"/>
      <c r="M89" s="33"/>
      <c r="N89" s="31"/>
      <c r="O89" s="30">
        <f>C87*C89+D87*D89+E87*E89+F87*F89+G87*G89+I87*I89+H87*H89+J87*J89+K87*K89+L87*L89+M87*M89+N87*N89</f>
        <v>270</v>
      </c>
    </row>
    <row r="90" spans="1:15" x14ac:dyDescent="0.25">
      <c r="A90" s="29"/>
      <c r="B90" s="2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1"/>
      <c r="O90" s="30">
        <f>C87*C90+D87*D90+E87*E90+F87*F90+G87*G90+I87*I90+H87*H90+J87*J90+K87*K90+L87*L90+M87*M90+N87*N90</f>
        <v>0</v>
      </c>
    </row>
    <row r="91" spans="1:15" x14ac:dyDescent="0.25">
      <c r="A91" s="29"/>
      <c r="B91" s="32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1"/>
      <c r="O91" s="30">
        <f>C87*C91+D87*D91+E87*E91+F87*F91+G87*G91+I87*I91+H87*H91+J87*J91+K87*K91+L87*L91+M87*M91+N87*N91</f>
        <v>0</v>
      </c>
    </row>
    <row r="92" spans="1:15" x14ac:dyDescent="0.25">
      <c r="A92" s="29"/>
      <c r="B92" s="32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1"/>
      <c r="O92" s="30">
        <f>C87*C92+D87*D92+E87*E92+F87*F92+G87*G92+I87*I92+H87*H92+J87*J92+K87*K92+L87*L92+M87*M92+N87*N92</f>
        <v>0</v>
      </c>
    </row>
    <row r="93" spans="1:15" x14ac:dyDescent="0.25">
      <c r="A93" s="29"/>
      <c r="B93" s="32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1"/>
      <c r="O93" s="30">
        <f>C87*C93+D87*D93+E87*E93+F87*F93+G87*G93+I87*I93+H87*H93+J87*J93+K87*K93+L87*L93+M87*M93+N87*N93</f>
        <v>0</v>
      </c>
    </row>
    <row r="94" spans="1:15" ht="15.75" thickBot="1" x14ac:dyDescent="0.3">
      <c r="A94" s="32"/>
      <c r="B94" s="32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1"/>
      <c r="O94" s="57">
        <f>C87*C94+D87*D94+E87*E94+F87*F94+G87*G94+H87*H94+I87*I94+J87*J94+K87*K94+L87*L94+M87*M94+N87*N94</f>
        <v>0</v>
      </c>
    </row>
    <row r="95" spans="1:15" ht="16.5" thickTop="1" thickBot="1" x14ac:dyDescent="0.3">
      <c r="A95" s="34" t="s">
        <v>18</v>
      </c>
      <c r="B95" s="35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7"/>
      <c r="O95" s="56">
        <f>SUM(O88:O94)</f>
        <v>594</v>
      </c>
    </row>
    <row r="96" spans="1:15" ht="16.5" thickTop="1" thickBot="1" x14ac:dyDescent="0.3">
      <c r="A96" s="39" t="s">
        <v>19</v>
      </c>
      <c r="B96" s="54"/>
      <c r="C96" s="41">
        <f t="shared" ref="C96:N96" si="12">SUM(C88:C94)</f>
        <v>0</v>
      </c>
      <c r="D96" s="42">
        <f t="shared" si="12"/>
        <v>22</v>
      </c>
      <c r="E96" s="42">
        <f t="shared" si="12"/>
        <v>0</v>
      </c>
      <c r="F96" s="43">
        <f t="shared" si="12"/>
        <v>0</v>
      </c>
      <c r="G96" s="43">
        <f t="shared" si="12"/>
        <v>0</v>
      </c>
      <c r="H96" s="44">
        <f t="shared" si="12"/>
        <v>0</v>
      </c>
      <c r="I96" s="43">
        <f t="shared" si="12"/>
        <v>0</v>
      </c>
      <c r="J96" s="43">
        <f t="shared" si="12"/>
        <v>0</v>
      </c>
      <c r="K96" s="43">
        <f t="shared" si="12"/>
        <v>0</v>
      </c>
      <c r="L96" s="43">
        <f t="shared" si="12"/>
        <v>0</v>
      </c>
      <c r="M96" s="43">
        <f t="shared" si="12"/>
        <v>0</v>
      </c>
      <c r="N96" s="45">
        <f t="shared" si="12"/>
        <v>0</v>
      </c>
      <c r="O96" s="46">
        <f>SUM(C96:N96)</f>
        <v>22</v>
      </c>
    </row>
    <row r="97" spans="1:17" ht="16.5" thickTop="1" thickBot="1" x14ac:dyDescent="0.3">
      <c r="A97" s="39" t="s">
        <v>20</v>
      </c>
      <c r="B97" s="54"/>
      <c r="C97" s="47">
        <f t="shared" ref="C97:M97" si="13">C87*C96</f>
        <v>0</v>
      </c>
      <c r="D97" s="48">
        <f t="shared" si="13"/>
        <v>594</v>
      </c>
      <c r="E97" s="48">
        <f t="shared" si="13"/>
        <v>0</v>
      </c>
      <c r="F97" s="48">
        <f t="shared" si="13"/>
        <v>0</v>
      </c>
      <c r="G97" s="48">
        <f t="shared" si="13"/>
        <v>0</v>
      </c>
      <c r="H97" s="48">
        <f t="shared" si="13"/>
        <v>0</v>
      </c>
      <c r="I97" s="48">
        <f t="shared" si="13"/>
        <v>0</v>
      </c>
      <c r="J97" s="48">
        <f t="shared" si="13"/>
        <v>0</v>
      </c>
      <c r="K97" s="48">
        <f t="shared" si="13"/>
        <v>0</v>
      </c>
      <c r="L97" s="48">
        <f t="shared" si="13"/>
        <v>0</v>
      </c>
      <c r="M97" s="48">
        <f t="shared" si="13"/>
        <v>0</v>
      </c>
      <c r="N97" s="49">
        <f>N88*N96</f>
        <v>0</v>
      </c>
      <c r="O97" s="50">
        <f>SUM(C97:N97)</f>
        <v>594</v>
      </c>
    </row>
    <row r="98" spans="1:17" ht="16.5" thickTop="1" thickBot="1" x14ac:dyDescent="0.3"/>
    <row r="99" spans="1:17" ht="16.5" thickTop="1" thickBot="1" x14ac:dyDescent="0.3">
      <c r="A99" s="1" t="s">
        <v>33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</row>
    <row r="100" spans="1:17" ht="16.5" thickTop="1" thickBot="1" x14ac:dyDescent="0.3">
      <c r="A100" s="5" t="s">
        <v>2</v>
      </c>
      <c r="B100" s="5" t="s">
        <v>3</v>
      </c>
      <c r="C100" s="6" t="s">
        <v>4</v>
      </c>
      <c r="D100" s="7" t="s">
        <v>5</v>
      </c>
      <c r="E100" s="7" t="s">
        <v>34</v>
      </c>
      <c r="F100" s="7" t="s">
        <v>7</v>
      </c>
      <c r="G100" s="8" t="s">
        <v>8</v>
      </c>
      <c r="H100" s="8" t="s">
        <v>22</v>
      </c>
      <c r="I100" s="8" t="s">
        <v>34</v>
      </c>
      <c r="J100" s="8" t="s">
        <v>11</v>
      </c>
      <c r="K100" s="9" t="s">
        <v>12</v>
      </c>
      <c r="L100" s="10" t="s">
        <v>13</v>
      </c>
      <c r="M100" s="9" t="s">
        <v>10</v>
      </c>
      <c r="N100" s="9" t="s">
        <v>15</v>
      </c>
      <c r="O100" s="11" t="s">
        <v>16</v>
      </c>
    </row>
    <row r="101" spans="1:17" ht="15.75" thickBot="1" x14ac:dyDescent="0.3">
      <c r="A101" s="13"/>
      <c r="B101" s="13"/>
      <c r="C101" s="14">
        <v>24.5</v>
      </c>
      <c r="D101" s="15">
        <v>27</v>
      </c>
      <c r="E101" s="15">
        <v>27</v>
      </c>
      <c r="F101" s="15">
        <v>27</v>
      </c>
      <c r="G101" s="15">
        <v>27</v>
      </c>
      <c r="H101" s="17">
        <v>26.5</v>
      </c>
      <c r="I101" s="16">
        <v>27</v>
      </c>
      <c r="J101" s="16">
        <v>22</v>
      </c>
      <c r="K101" s="17">
        <v>27</v>
      </c>
      <c r="L101" s="18">
        <v>29</v>
      </c>
      <c r="M101" s="18">
        <v>22</v>
      </c>
      <c r="N101" s="18">
        <v>27</v>
      </c>
      <c r="O101" s="58"/>
    </row>
    <row r="102" spans="1:17" ht="15.75" thickTop="1" x14ac:dyDescent="0.25">
      <c r="A102" s="29">
        <v>46265</v>
      </c>
      <c r="B102" s="32">
        <v>6382</v>
      </c>
      <c r="C102" s="33"/>
      <c r="D102" s="33">
        <v>30</v>
      </c>
      <c r="E102" s="33">
        <v>5</v>
      </c>
      <c r="F102" s="33">
        <v>12</v>
      </c>
      <c r="G102" s="33"/>
      <c r="H102" s="33"/>
      <c r="I102" s="33"/>
      <c r="J102" s="33"/>
      <c r="K102" s="33"/>
      <c r="L102" s="52"/>
      <c r="M102" s="52"/>
      <c r="N102" s="26"/>
      <c r="O102" s="30">
        <f>C101*C102+D101*D102+E101*E102+F101*F102+G101*G102+I101*I102+H101*H102+J101*J102+K101*K102+L101*L102+M101*M102+N101*N102</f>
        <v>1269</v>
      </c>
    </row>
    <row r="103" spans="1:17" x14ac:dyDescent="0.25">
      <c r="A103" s="29">
        <v>46269</v>
      </c>
      <c r="B103" s="32" t="s">
        <v>35</v>
      </c>
      <c r="C103" s="33"/>
      <c r="D103" s="52">
        <v>17</v>
      </c>
      <c r="E103" s="33"/>
      <c r="F103" s="33">
        <v>24</v>
      </c>
      <c r="G103" s="33"/>
      <c r="H103" s="33">
        <v>16</v>
      </c>
      <c r="I103" s="52"/>
      <c r="J103" s="52"/>
      <c r="K103" s="33">
        <v>16</v>
      </c>
      <c r="L103" s="52"/>
      <c r="M103" s="52"/>
      <c r="N103" s="26"/>
      <c r="O103" s="30">
        <f>C101*C103+D101*D103+E101*E103+F101*F103+G101*G103+I101*I103+H101*H103+J101*J103+K101*K103+L101*L103+M101*M103+N101*N103</f>
        <v>1963</v>
      </c>
    </row>
    <row r="104" spans="1:17" x14ac:dyDescent="0.25">
      <c r="A104" s="29"/>
      <c r="B104" s="23"/>
      <c r="C104" s="33"/>
      <c r="D104" s="33"/>
      <c r="E104" s="33"/>
      <c r="F104" s="33"/>
      <c r="G104" s="33"/>
      <c r="H104" s="33"/>
      <c r="I104" s="33"/>
      <c r="J104" s="52"/>
      <c r="K104" s="33"/>
      <c r="L104" s="52"/>
      <c r="M104" s="52"/>
      <c r="N104" s="26"/>
      <c r="O104" s="30">
        <f>C101*C104+D101*D104+E101*E104+F101*F104+G101*G104+I101*I104+H101*H104+J101*J104+K101*K104+L101*L104+M101*M104+N101*N104</f>
        <v>0</v>
      </c>
      <c r="Q104">
        <v>135</v>
      </c>
    </row>
    <row r="105" spans="1:17" x14ac:dyDescent="0.25">
      <c r="A105" s="29"/>
      <c r="B105" s="32"/>
      <c r="C105" s="33"/>
      <c r="D105" s="52"/>
      <c r="E105" s="33"/>
      <c r="F105" s="33"/>
      <c r="G105" s="33"/>
      <c r="H105" s="33"/>
      <c r="I105" s="33"/>
      <c r="J105" s="33"/>
      <c r="K105" s="33"/>
      <c r="L105" s="52"/>
      <c r="M105" s="52"/>
      <c r="N105" s="26"/>
      <c r="O105" s="30">
        <f>C101*C105+D101*D105+E101*E105+F101*F105+G101*G105+I101*I105+H101*H105+J101*J105+K101*K105+L101*L105+M101*M105+N101*N105</f>
        <v>0</v>
      </c>
      <c r="Q105">
        <v>270</v>
      </c>
    </row>
    <row r="106" spans="1:17" x14ac:dyDescent="0.25">
      <c r="A106" s="29"/>
      <c r="B106" s="32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1"/>
      <c r="O106" s="30">
        <f>C101*C106+D101*D106+E101*E106+F101*F106+G101*G106+I101*I106+H101*H106+J101*J106+K101*K106+L101*L106+M101*M106+N101*N106</f>
        <v>0</v>
      </c>
      <c r="Q106">
        <v>135</v>
      </c>
    </row>
    <row r="107" spans="1:17" x14ac:dyDescent="0.25">
      <c r="A107" s="29"/>
      <c r="B107" s="32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1"/>
      <c r="O107" s="30">
        <f>C101*C107+D101*D107+E101*E107+F101*F107+G101*G107+I101*I107+H101*H107+J101*J107+K101*K107+L101*L107+M101*M107+N101*N107</f>
        <v>0</v>
      </c>
      <c r="Q107">
        <v>945</v>
      </c>
    </row>
    <row r="108" spans="1:17" ht="15.75" thickBot="1" x14ac:dyDescent="0.3">
      <c r="A108" s="32"/>
      <c r="B108" s="32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1"/>
      <c r="O108" s="57">
        <f>C101*C108+D101*D108+E101*E108+F101*F108+G101*G108+H101*H108+I101*I108+J101*J108+K101*K108+L101*L108+M101*M108+N101*N108</f>
        <v>0</v>
      </c>
    </row>
    <row r="109" spans="1:17" ht="16.5" thickTop="1" thickBot="1" x14ac:dyDescent="0.3">
      <c r="A109" s="34" t="s">
        <v>18</v>
      </c>
      <c r="B109" s="35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7"/>
      <c r="O109" s="56">
        <f>SUM(O102:O108)</f>
        <v>3232</v>
      </c>
    </row>
    <row r="110" spans="1:17" ht="16.5" thickTop="1" thickBot="1" x14ac:dyDescent="0.3">
      <c r="A110" s="39" t="s">
        <v>19</v>
      </c>
      <c r="B110" s="54"/>
      <c r="C110" s="41">
        <f t="shared" ref="C110:N110" si="14">SUM(C102:C108)</f>
        <v>0</v>
      </c>
      <c r="D110" s="42">
        <f t="shared" si="14"/>
        <v>47</v>
      </c>
      <c r="E110" s="42">
        <f t="shared" si="14"/>
        <v>5</v>
      </c>
      <c r="F110" s="43">
        <f t="shared" si="14"/>
        <v>36</v>
      </c>
      <c r="G110" s="43">
        <f t="shared" si="14"/>
        <v>0</v>
      </c>
      <c r="H110" s="44">
        <f t="shared" si="14"/>
        <v>16</v>
      </c>
      <c r="I110" s="43">
        <f t="shared" si="14"/>
        <v>0</v>
      </c>
      <c r="J110" s="43">
        <f t="shared" si="14"/>
        <v>0</v>
      </c>
      <c r="K110" s="43">
        <f t="shared" si="14"/>
        <v>16</v>
      </c>
      <c r="L110" s="43">
        <f t="shared" si="14"/>
        <v>0</v>
      </c>
      <c r="M110" s="43">
        <f t="shared" si="14"/>
        <v>0</v>
      </c>
      <c r="N110" s="45">
        <f t="shared" si="14"/>
        <v>0</v>
      </c>
      <c r="O110" s="46">
        <f>SUM(C110:N110)</f>
        <v>120</v>
      </c>
    </row>
    <row r="111" spans="1:17" ht="16.5" thickTop="1" thickBot="1" x14ac:dyDescent="0.3">
      <c r="A111" s="39" t="s">
        <v>20</v>
      </c>
      <c r="B111" s="54"/>
      <c r="C111" s="47">
        <f t="shared" ref="C111:N111" si="15">C101*C110</f>
        <v>0</v>
      </c>
      <c r="D111" s="48">
        <f t="shared" si="15"/>
        <v>1269</v>
      </c>
      <c r="E111" s="48">
        <f t="shared" si="15"/>
        <v>135</v>
      </c>
      <c r="F111" s="48">
        <f t="shared" si="15"/>
        <v>972</v>
      </c>
      <c r="G111" s="48">
        <f t="shared" si="15"/>
        <v>0</v>
      </c>
      <c r="H111" s="48">
        <f t="shared" si="15"/>
        <v>424</v>
      </c>
      <c r="I111" s="48">
        <f t="shared" si="15"/>
        <v>0</v>
      </c>
      <c r="J111" s="48">
        <f t="shared" si="15"/>
        <v>0</v>
      </c>
      <c r="K111" s="48">
        <f t="shared" si="15"/>
        <v>432</v>
      </c>
      <c r="L111" s="48">
        <f t="shared" si="15"/>
        <v>0</v>
      </c>
      <c r="M111" s="48">
        <f t="shared" si="15"/>
        <v>0</v>
      </c>
      <c r="N111" s="49">
        <f t="shared" si="15"/>
        <v>0</v>
      </c>
      <c r="O111" s="50">
        <f>SUM(C111:N111)</f>
        <v>3232</v>
      </c>
    </row>
    <row r="112" spans="1:17" ht="15.75" thickTop="1" x14ac:dyDescent="0.25"/>
  </sheetData>
  <mergeCells count="56">
    <mergeCell ref="B109:N109"/>
    <mergeCell ref="A110:B110"/>
    <mergeCell ref="A111:B111"/>
    <mergeCell ref="B95:N95"/>
    <mergeCell ref="A96:B96"/>
    <mergeCell ref="A97:B97"/>
    <mergeCell ref="A99:O99"/>
    <mergeCell ref="A100:A101"/>
    <mergeCell ref="B100:B101"/>
    <mergeCell ref="O100:O101"/>
    <mergeCell ref="B81:N81"/>
    <mergeCell ref="A82:B82"/>
    <mergeCell ref="A83:B83"/>
    <mergeCell ref="A85:O85"/>
    <mergeCell ref="A86:A87"/>
    <mergeCell ref="B86:B87"/>
    <mergeCell ref="O86:O87"/>
    <mergeCell ref="B67:N67"/>
    <mergeCell ref="A68:B68"/>
    <mergeCell ref="A69:B69"/>
    <mergeCell ref="A71:O71"/>
    <mergeCell ref="A72:A73"/>
    <mergeCell ref="B72:B73"/>
    <mergeCell ref="O72:O73"/>
    <mergeCell ref="B53:N53"/>
    <mergeCell ref="A54:B54"/>
    <mergeCell ref="A55:B55"/>
    <mergeCell ref="A57:O57"/>
    <mergeCell ref="A58:A59"/>
    <mergeCell ref="B58:B59"/>
    <mergeCell ref="O58:O59"/>
    <mergeCell ref="B39:N39"/>
    <mergeCell ref="A40:B40"/>
    <mergeCell ref="A41:B41"/>
    <mergeCell ref="A43:O43"/>
    <mergeCell ref="A44:A45"/>
    <mergeCell ref="B44:B45"/>
    <mergeCell ref="O44:O45"/>
    <mergeCell ref="A26:B26"/>
    <mergeCell ref="A27:B27"/>
    <mergeCell ref="A29:O29"/>
    <mergeCell ref="A30:A31"/>
    <mergeCell ref="B30:B31"/>
    <mergeCell ref="O30:O31"/>
    <mergeCell ref="A13:B13"/>
    <mergeCell ref="A15:O15"/>
    <mergeCell ref="A16:A17"/>
    <mergeCell ref="B16:B17"/>
    <mergeCell ref="O16:O17"/>
    <mergeCell ref="B25:N25"/>
    <mergeCell ref="A1:O1"/>
    <mergeCell ref="A2:A3"/>
    <mergeCell ref="B2:B3"/>
    <mergeCell ref="O2:O3"/>
    <mergeCell ref="B11:N11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trejo</dc:creator>
  <cp:lastModifiedBy>laura trejo</cp:lastModifiedBy>
  <dcterms:created xsi:type="dcterms:W3CDTF">2026-09-08T21:13:19Z</dcterms:created>
  <dcterms:modified xsi:type="dcterms:W3CDTF">2026-09-08T22:01:24Z</dcterms:modified>
</cp:coreProperties>
</file>